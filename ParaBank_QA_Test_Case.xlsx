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OCT - Shift - 2026\LISTING\after 15 oct\ParaBank\"/>
    </mc:Choice>
  </mc:AlternateContent>
  <xr:revisionPtr revIDLastSave="0" documentId="13_ncr:1_{AF13FE37-CB4A-4C16-8034-B3242E41CD7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oject Information" sheetId="1" r:id="rId1"/>
    <sheet name="Test-Scenario" sheetId="2" r:id="rId2"/>
    <sheet name="Test Cases" sheetId="3" r:id="rId3"/>
    <sheet name="RTM" sheetId="4" r:id="rId4"/>
    <sheet name="Defects" sheetId="5" r:id="rId5"/>
  </sheets>
  <definedNames>
    <definedName name="_xlnm._FilterDatabase" localSheetId="2" hidden="1">'Test Cases'!$A$5:$J$92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6" i="4" l="1"/>
  <c r="I16" i="4"/>
  <c r="H16" i="4"/>
  <c r="G16" i="4"/>
  <c r="F16" i="4"/>
  <c r="J15" i="4"/>
  <c r="I15" i="4"/>
  <c r="H15" i="4"/>
  <c r="G15" i="4"/>
  <c r="F15" i="4"/>
  <c r="J14" i="4"/>
  <c r="I14" i="4"/>
  <c r="H14" i="4"/>
  <c r="G14" i="4"/>
  <c r="F14" i="4"/>
  <c r="J13" i="4"/>
  <c r="I13" i="4"/>
  <c r="H13" i="4"/>
  <c r="G13" i="4"/>
  <c r="F13" i="4"/>
  <c r="J12" i="4"/>
  <c r="I12" i="4"/>
  <c r="H12" i="4"/>
  <c r="G12" i="4"/>
  <c r="F12" i="4"/>
  <c r="J11" i="4"/>
  <c r="I11" i="4"/>
  <c r="H11" i="4"/>
  <c r="G11" i="4"/>
  <c r="F11" i="4"/>
  <c r="J10" i="4"/>
  <c r="I10" i="4"/>
  <c r="H10" i="4"/>
  <c r="G10" i="4"/>
  <c r="F10" i="4"/>
  <c r="J9" i="4"/>
  <c r="I9" i="4"/>
  <c r="H9" i="4"/>
  <c r="G9" i="4"/>
  <c r="F9" i="4"/>
  <c r="J8" i="4"/>
  <c r="I8" i="4"/>
  <c r="H8" i="4"/>
  <c r="G8" i="4"/>
  <c r="F8" i="4"/>
  <c r="J7" i="4"/>
  <c r="I7" i="4"/>
  <c r="H7" i="4"/>
  <c r="G7" i="4"/>
  <c r="F7" i="4"/>
  <c r="J6" i="4"/>
  <c r="I6" i="4"/>
  <c r="H6" i="4"/>
  <c r="G6" i="4"/>
  <c r="F6" i="4"/>
  <c r="J5" i="4"/>
  <c r="J17" i="4" s="1"/>
  <c r="I5" i="4"/>
  <c r="I17" i="4" s="1"/>
  <c r="H5" i="4"/>
  <c r="H17" i="4" s="1"/>
  <c r="G5" i="4"/>
  <c r="G17" i="4" s="1"/>
  <c r="F5" i="4"/>
  <c r="F17" i="4" s="1"/>
  <c r="F19" i="2"/>
  <c r="F18" i="2"/>
  <c r="F17" i="2"/>
  <c r="F16" i="2"/>
  <c r="F15" i="2"/>
  <c r="F14" i="2"/>
  <c r="F13" i="2"/>
  <c r="F12" i="2"/>
  <c r="F11" i="2"/>
  <c r="F10" i="2"/>
  <c r="F9" i="2"/>
  <c r="F8" i="2"/>
  <c r="F20" i="2" s="1"/>
</calcChain>
</file>

<file path=xl/sharedStrings.xml><?xml version="1.0" encoding="utf-8"?>
<sst xmlns="http://schemas.openxmlformats.org/spreadsheetml/2006/main" count="1012" uniqueCount="593">
  <si>
    <t>PROJECT INFORMATION</t>
  </si>
  <si>
    <t>Project Name</t>
  </si>
  <si>
    <t>ParaBank QA Testing</t>
  </si>
  <si>
    <t>Application Name</t>
  </si>
  <si>
    <t>ParaBank (Parasoft demo banking application)</t>
  </si>
  <si>
    <t>Application URL</t>
  </si>
  <si>
    <t>https://parabank.parasoft.com/parabank/index.htm</t>
  </si>
  <si>
    <t>Application Type</t>
  </si>
  <si>
    <t>Web Application</t>
  </si>
  <si>
    <t>Document Type</t>
  </si>
  <si>
    <t>QA Test Documentation</t>
  </si>
  <si>
    <t>Version</t>
  </si>
  <si>
    <t>1.0</t>
  </si>
  <si>
    <t>Prepared By</t>
  </si>
  <si>
    <t>Ghanshyam Sharma</t>
  </si>
  <si>
    <t>Testing Approach</t>
  </si>
  <si>
    <t>Manual Testing</t>
  </si>
  <si>
    <t>Environment</t>
  </si>
  <si>
    <t>ParaBank Demo</t>
  </si>
  <si>
    <t>Browser</t>
  </si>
  <si>
    <t>Chrome</t>
  </si>
  <si>
    <t>Operating System</t>
  </si>
  <si>
    <t>Windows</t>
  </si>
  <si>
    <t>Date</t>
  </si>
  <si>
    <t>Documentation Index</t>
  </si>
  <si>
    <t>Sheet</t>
  </si>
  <si>
    <t>Purpose</t>
  </si>
  <si>
    <t>Project Information</t>
  </si>
  <si>
    <t>Project and testing information</t>
  </si>
  <si>
    <t>Test-Scenario</t>
  </si>
  <si>
    <t>Master list of test scenarios</t>
  </si>
  <si>
    <t>Test Cases</t>
  </si>
  <si>
    <t>Detailed test cases mapped to scenarios</t>
  </si>
  <si>
    <t>RTM</t>
  </si>
  <si>
    <t>Requirement-to-test-case mapping with execution summary</t>
  </si>
  <si>
    <t>Defects</t>
  </si>
  <si>
    <t>Defects identified during testing</t>
  </si>
  <si>
    <t>Notes and Assumptions</t>
  </si>
  <si>
    <t>• Test data for Registration, Login, Update Contact Info etc. was provided by the tester (Ghanshyam Sharma); remaining data was chosen by the tester's instruction.</t>
  </si>
  <si>
    <t>• ParaBank has no formal FRS, so requirements in the RTM are derived from the application's visible functionality.</t>
  </si>
  <si>
    <t>• Expected results describe the correct behaviour of the feature. Exact message wording must be confirmed during execution.</t>
  </si>
  <si>
    <t>• ParaBank demo data can be reset by Parasoft. If user ghanshyam18n no longer exists, register again (backup username: ghanshyam18n01).</t>
  </si>
  <si>
    <t>ParaBank (Front-End)</t>
  </si>
  <si>
    <t>Client</t>
  </si>
  <si>
    <t>Parasoft (ParaBank demo)</t>
  </si>
  <si>
    <t>Created By</t>
  </si>
  <si>
    <t>Creation Date</t>
  </si>
  <si>
    <t>Approval Date</t>
  </si>
  <si>
    <t>Test Scenario ID</t>
  </si>
  <si>
    <t>Module</t>
  </si>
  <si>
    <t>Reference</t>
  </si>
  <si>
    <t>Test Scenario</t>
  </si>
  <si>
    <t>Priority</t>
  </si>
  <si>
    <t>Number of Test Cases</t>
  </si>
  <si>
    <t>TS_01</t>
  </si>
  <si>
    <t>Register</t>
  </si>
  <si>
    <t>FRS</t>
  </si>
  <si>
    <t>Verify the working of Registration functionality on ParaBank.</t>
  </si>
  <si>
    <t>P0</t>
  </si>
  <si>
    <t>TS_02</t>
  </si>
  <si>
    <t>Login</t>
  </si>
  <si>
    <t>Validate the working of Login functionality on ParaBank.</t>
  </si>
  <si>
    <t>TS_03</t>
  </si>
  <si>
    <t>Validate the working of Logout functionality on ParaBank.</t>
  </si>
  <si>
    <t>TS_04</t>
  </si>
  <si>
    <t>Validate the working of Forgot Login Info (Customer Lookup) functionality.</t>
  </si>
  <si>
    <t>P2</t>
  </si>
  <si>
    <t>TS_05</t>
  </si>
  <si>
    <t>Open New Account</t>
  </si>
  <si>
    <t>Verify the working of Open New Account functionality.</t>
  </si>
  <si>
    <t>TS_06</t>
  </si>
  <si>
    <t>Accounts Overview</t>
  </si>
  <si>
    <t>Verify the working of Accounts Overview functionality.</t>
  </si>
  <si>
    <t>TS_07</t>
  </si>
  <si>
    <t>Verify the working of Account Details and Account Activity functionality.</t>
  </si>
  <si>
    <t>P1</t>
  </si>
  <si>
    <t>TS_08</t>
  </si>
  <si>
    <t>Transfer Funds</t>
  </si>
  <si>
    <t>Verify the working of Transfer Funds functionality.</t>
  </si>
  <si>
    <t>TS_09</t>
  </si>
  <si>
    <t>Bill Pay</t>
  </si>
  <si>
    <t>Verify the working of Bill Pay functionality.</t>
  </si>
  <si>
    <t>TS_10</t>
  </si>
  <si>
    <t>Find Transactions</t>
  </si>
  <si>
    <t>Verify the working of Find Transactions functionality.</t>
  </si>
  <si>
    <t>TS_11</t>
  </si>
  <si>
    <t>Update Contact Info</t>
  </si>
  <si>
    <t>Verify the working of Update Contact Info functionality.</t>
  </si>
  <si>
    <t>TS_12</t>
  </si>
  <si>
    <t>Request Loan</t>
  </si>
  <si>
    <t>Verify the working of Request Loan functionality.</t>
  </si>
  <si>
    <t>Total</t>
  </si>
  <si>
    <t>Client Name</t>
  </si>
  <si>
    <t>Version Number</t>
  </si>
  <si>
    <t>Version 1.0</t>
  </si>
  <si>
    <t>Test Case ID</t>
  </si>
  <si>
    <t>Test Case Title</t>
  </si>
  <si>
    <t>Pre-Condition</t>
  </si>
  <si>
    <t>Test Step</t>
  </si>
  <si>
    <t>Test Data</t>
  </si>
  <si>
    <t>Expected Result</t>
  </si>
  <si>
    <t>Actual Result</t>
  </si>
  <si>
    <t>Result</t>
  </si>
  <si>
    <t>TC-RF-01</t>
  </si>
  <si>
    <t>TS_01 - Register Functionality</t>
  </si>
  <si>
    <t>Verify registration with all valid data</t>
  </si>
  <si>
    <t>ParaBank home page is open in Chrome (https://parabank.parasoft.com/parabank/index.htm)</t>
  </si>
  <si>
    <t>1. Click 'Register' link on the login panel
2. Enter all the fields with valid data
3. Click 'Register' button</t>
  </si>
  <si>
    <t>First Name: Ghanshyam
Last Name: Sharma
Address: Punjagutta
City: Hyderabad
State: Telangana
Zip Code: 500078
Phone: 1234567897
SSN: 987-65-4321
Username: ghanshyam18n
Password: 123@cseIT
Confirm: 123@cseIT</t>
  </si>
  <si>
    <t>Account is created. Welcome message with username 'ghanshyam18n' is shown and user is logged in automatically.</t>
  </si>
  <si>
    <t>Not Executed</t>
  </si>
  <si>
    <t>TC-RF-02</t>
  </si>
  <si>
    <t>Verify all fields and buttons are displayed on Register page</t>
  </si>
  <si>
    <t>1. Click 'Register' link
2. Check the form labels and button</t>
  </si>
  <si>
    <t>N/A</t>
  </si>
  <si>
    <t>Fields First Name, Last Name, Address, City, State, Zip Code, Phone #, SSN, Username, Password, Confirm and 'Register' button are displayed.</t>
  </si>
  <si>
    <t>TC-RF-03</t>
  </si>
  <si>
    <t>Verify registration with all fields blank</t>
  </si>
  <si>
    <t>Register page is open</t>
  </si>
  <si>
    <t>1. Leave all fields empty
2. Click 'Register' button</t>
  </si>
  <si>
    <t>All fields blank</t>
  </si>
  <si>
    <t>Account is not created. A 'required' error message is shown for each mandatory field.</t>
  </si>
  <si>
    <t>TC-RF-04</t>
  </si>
  <si>
    <t>Verify registration with SSN blank</t>
  </si>
  <si>
    <t>1. Fill all fields except SSN
2. Click 'Register' button</t>
  </si>
  <si>
    <t>First Name: Ghanshyam
Last Name: Sharma
Address: Punjagutta
City: Hyderabad
State: Telangana
Zip Code: 500078
Phone: 1234567897
SSN: (blank)
Username: ghanshyam18n
Password: 123@cseIT
Confirm: 123@cseIT</t>
  </si>
  <si>
    <t>Account is not created. 'Social Security Number is required' error is shown.</t>
  </si>
  <si>
    <t>TC-RF-05</t>
  </si>
  <si>
    <t>Verify registration with Username blank</t>
  </si>
  <si>
    <t>1. Fill all fields except Username
2. Click 'Register' button</t>
  </si>
  <si>
    <t>First Name: Ghanshyam
Last Name: Sharma
Address: Punjagutta
City: Hyderabad
State: Telangana
Zip Code: 500078
Phone: 1234567897
SSN: 987-65-4321
Username: (blank)
Password: 123@cseIT
Confirm: 123@cseIT</t>
  </si>
  <si>
    <t>Account is not created. 'Username is required' error is shown.</t>
  </si>
  <si>
    <t>TC-RF-06</t>
  </si>
  <si>
    <t>Verify registration with Password and Confirm Password blank</t>
  </si>
  <si>
    <t>1. Fill all fields except Password and Confirm
2. Click 'Register' button</t>
  </si>
  <si>
    <t>First Name: Ghanshyam
Last Name: Sharma
Address: Punjagutta
City: Hyderabad
State: Telangana
Zip Code: 500078
Phone: 1234567897
SSN: 987-65-4321
Username: ghanshyam18n
Password: (blank)
Confirm: (blank)</t>
  </si>
  <si>
    <t>Account is not created. Password and password confirmation required errors are shown.</t>
  </si>
  <si>
    <t>TC-RF-07</t>
  </si>
  <si>
    <t>Verify registration when Confirm Password does not match Password</t>
  </si>
  <si>
    <t>1. Fill all fields
2. Enter a different value in Confirm field
3. Click 'Register' button</t>
  </si>
  <si>
    <t>First Name: Ghanshyam
Last Name: Sharma
Address: Punjagutta
City: Hyderabad
State: Telangana
Zip Code: 500078
Phone: 1234567897
SSN: 987-65-4321
Username: ghanshyam18n
Password: 123@cseIT
Confirm: 123@cseIT1</t>
  </si>
  <si>
    <t>Account is not created. 'Passwords did not match' error is shown.</t>
  </si>
  <si>
    <t>TC-RF-08</t>
  </si>
  <si>
    <t>Verify registration with an already existing username</t>
  </si>
  <si>
    <t>User ghanshyam18n is already registered; user is logged out</t>
  </si>
  <si>
    <t>1. Click 'Register'
2. Fill all fields using username ghanshyam18n
3. Click 'Register' button</t>
  </si>
  <si>
    <t>Account is not created. 'This username already exists' error is shown.</t>
  </si>
  <si>
    <t>TC-RF-09</t>
  </si>
  <si>
    <t>Verify registration with Phone number left blank</t>
  </si>
  <si>
    <t>1. Fill all fields except Phone #
2. Click 'Register' button</t>
  </si>
  <si>
    <t>First Name: Ghanshyam
Last Name: Sharma
Address: Punjagutta
City: Hyderabad
State: Telangana
Zip Code: 500078
Phone: (blank)
SSN: 987-65-4321
Username: ghanshyam18n02
Password: 123@cseIT
Confirm: 123@cseIT</t>
  </si>
  <si>
    <t>Phone # is optional, so the account is created successfully (verify against actual behaviour).</t>
  </si>
  <si>
    <t>P3</t>
  </si>
  <si>
    <t>TC-RF-10</t>
  </si>
  <si>
    <t>Verify registration with alphabets in Zip Code and Phone fields</t>
  </si>
  <si>
    <t>1. Enter Zip Code and Phone with alphabets
2. Fill other fields with valid data
3. Click 'Register' button</t>
  </si>
  <si>
    <t>First Name: Ghanshyam
Last Name: Sharma
Address: Punjagutta
City: Hyderabad
State: Telangana
Zip Code: ABCDE
Phone: abcdefghij
SSN: 987-65-4321
Username: ghanshyam18n03
Password: 123@cseIT
Confirm: 123@cseIT</t>
  </si>
  <si>
    <t>Account should not be created; a validation message for invalid Zip Code / Phone is expected.</t>
  </si>
  <si>
    <t>TC-LF-01</t>
  </si>
  <si>
    <t>TS_02 - Login Functionality</t>
  </si>
  <si>
    <t>Verify login with valid username and password</t>
  </si>
  <si>
    <t>1. Enter valid username and password in the login panel
2. Click 'Log In' button</t>
  </si>
  <si>
    <t>Username: ghanshyam18n
Password: 123@cseIT</t>
  </si>
  <si>
    <t>User is logged in and the Accounts Overview page is displayed.</t>
  </si>
  <si>
    <t>TC-LF-02</t>
  </si>
  <si>
    <t>Verify login with valid username and wrong password</t>
  </si>
  <si>
    <t>1. Enter valid username and wrong password
2. Click 'Log In'</t>
  </si>
  <si>
    <t>Username: ghanshyam18n
Password: wrongPass@1</t>
  </si>
  <si>
    <t>Login fails. 'The username and password could not be verified' error is shown.</t>
  </si>
  <si>
    <t>TC-LF-03</t>
  </si>
  <si>
    <t>Verify login with unregistered username and valid password</t>
  </si>
  <si>
    <t>1. Enter unknown username and a password
2. Click 'Log In'</t>
  </si>
  <si>
    <t>Username: unknownuser
Password: 123@cseIT</t>
  </si>
  <si>
    <t>TC-LF-04</t>
  </si>
  <si>
    <t>Verify login with both fields blank</t>
  </si>
  <si>
    <t>1. Leave username and password empty
2. Click 'Log In'</t>
  </si>
  <si>
    <t>Username: (blank)
Password: (blank)</t>
  </si>
  <si>
    <t>Login fails. 'Please enter a username and password' error is shown.</t>
  </si>
  <si>
    <t>TC-LF-05</t>
  </si>
  <si>
    <t>Verify login with username blank</t>
  </si>
  <si>
    <t>1. Leave username empty, enter password
2. Click 'Log In'</t>
  </si>
  <si>
    <t>Username: (blank)
Password: 123@cseIT</t>
  </si>
  <si>
    <t>Login fails with an error asking for username and password.</t>
  </si>
  <si>
    <t>TC-LF-06</t>
  </si>
  <si>
    <t>Verify login with password blank</t>
  </si>
  <si>
    <t>1. Enter username, leave password empty
2. Click 'Log In'</t>
  </si>
  <si>
    <t>Username: ghanshyam18n
Password: (blank)</t>
  </si>
  <si>
    <t>TC-LF-07</t>
  </si>
  <si>
    <t>Verify password is case sensitive</t>
  </si>
  <si>
    <t>1. Enter username and password with changed letter case
2. Click 'Log In'</t>
  </si>
  <si>
    <t>Username: ghanshyam18n
Password: 123@CSEit</t>
  </si>
  <si>
    <t>Login fails. User is not logged in.</t>
  </si>
  <si>
    <t>TC-LF-08</t>
  </si>
  <si>
    <t>Verify login with SQL injection text in username</t>
  </si>
  <si>
    <t>1. Enter SQL injection text in username and any password
2. Click 'Log In'</t>
  </si>
  <si>
    <t>Username: ' OR '1'='1
Password: abc@123</t>
  </si>
  <si>
    <t>Login fails. User is not logged in and no application error is displayed.</t>
  </si>
  <si>
    <t>TC-LF-09</t>
  </si>
  <si>
    <t>Verify login panel UI elements</t>
  </si>
  <si>
    <t>1. Check the login panel on home page</t>
  </si>
  <si>
    <t>Username, Password, 'Log In' button, 'Forgot login info?' and 'Register' links are displayed.</t>
  </si>
  <si>
    <t>TC-LO-01</t>
  </si>
  <si>
    <t>TS_03 - Logout Functionality</t>
  </si>
  <si>
    <t>Verify user can logout from Accounts Overview page</t>
  </si>
  <si>
    <t>User ghanshyam18n is registered and logged in to ParaBank</t>
  </si>
  <si>
    <t>1. Click 'Log Out' link in the left panel</t>
  </si>
  <si>
    <t>User is logged out and the home page with login panel is displayed.</t>
  </si>
  <si>
    <t>TC-LO-02</t>
  </si>
  <si>
    <t>Verify browser Back button after logout does not expose account data</t>
  </si>
  <si>
    <t>1. Click 'Log Out'
2. Click browser Back button</t>
  </si>
  <si>
    <t>Account information is not displayed; user is asked to log in again.</t>
  </si>
  <si>
    <t>TC-LO-03</t>
  </si>
  <si>
    <t>Verify direct access to Accounts Overview URL after logout</t>
  </si>
  <si>
    <t>User is logged out of ParaBank</t>
  </si>
  <si>
    <t>1. Open https://parabank.parasoft.com/parabank/overview.htm in the browser</t>
  </si>
  <si>
    <t>Account data is not displayed; an error or the login page is shown.</t>
  </si>
  <si>
    <t>TC-FL-01</t>
  </si>
  <si>
    <t>TS_04 - Forgot Login Info Functionality</t>
  </si>
  <si>
    <t>Verify Forgot login info link opens Customer Lookup page</t>
  </si>
  <si>
    <t>1. Click 'Forgot login info?' link</t>
  </si>
  <si>
    <t>Customer Lookup page with the personal details form is displayed.</t>
  </si>
  <si>
    <t>TC-FL-02</t>
  </si>
  <si>
    <t>Verify customer lookup with valid registered details</t>
  </si>
  <si>
    <t>User ghanshyam18n is registered; user is logged out</t>
  </si>
  <si>
    <t>1. Open Customer Lookup
2. Enter registered details
3. Click 'Find My Login Info'</t>
  </si>
  <si>
    <t>First Name: Ghanshyam
Last Name: Sharma
Address: Punjagutta
City: Hyderabad
State: Telangana
Zip Code: 500078
SSN: 987-65-4321</t>
  </si>
  <si>
    <t>Login information (username and password) is displayed for the customer.</t>
  </si>
  <si>
    <t>TC-FL-03</t>
  </si>
  <si>
    <t>Verify customer lookup with wrong SSN</t>
  </si>
  <si>
    <t>Customer Lookup page is open</t>
  </si>
  <si>
    <t>1. Enter correct details but wrong SSN
2. Click 'Find My Login Info'</t>
  </si>
  <si>
    <t>Same details as above, SSN: 111-22-3333</t>
  </si>
  <si>
    <t>Login info is not displayed. 'Customer information not found' type error is shown.</t>
  </si>
  <si>
    <t>TC-FL-04</t>
  </si>
  <si>
    <t>Verify customer lookup with all fields blank</t>
  </si>
  <si>
    <t>1. Leave all fields empty
2. Click 'Find My Login Info'</t>
  </si>
  <si>
    <t>Required field error messages are displayed.</t>
  </si>
  <si>
    <t>TC-ON-01</t>
  </si>
  <si>
    <t>TS_05 - Open New Account Functionality</t>
  </si>
  <si>
    <t>Verify opening a SAVINGS account</t>
  </si>
  <si>
    <t>1. Click 'Open New Account'
2. Select account type SAVINGS
3. Keep the default funding account
4. Click 'Open New Account' button</t>
  </si>
  <si>
    <t>Type: SAVINGS
Funding account: default (first account)</t>
  </si>
  <si>
    <t>'Account Opened!' message with a new account number is displayed.</t>
  </si>
  <si>
    <t>TC-ON-02</t>
  </si>
  <si>
    <t>Verify opening a CHECKING account</t>
  </si>
  <si>
    <t>1. Click 'Open New Account'
2. Select account type CHECKING
3. Keep the default funding account
4. Click 'Open New Account' button</t>
  </si>
  <si>
    <t>Type: CHECKING
Funding account: default (first account)</t>
  </si>
  <si>
    <t>TC-ON-03</t>
  </si>
  <si>
    <t>Verify new account is listed in Accounts Overview</t>
  </si>
  <si>
    <t>User ghanshyam18n is registered and logged in to ParaBank; a new account was just opened</t>
  </si>
  <si>
    <t>1. Click the new account number link on the confirmation page or open 'Accounts Overview'</t>
  </si>
  <si>
    <t>New account number from confirmation</t>
  </si>
  <si>
    <t>New account appears in the list with the correct type and balance.</t>
  </si>
  <si>
    <t>TC-ON-04</t>
  </si>
  <si>
    <t>Verify funding account balance is reduced after opening account</t>
  </si>
  <si>
    <t>1. Note the balance of the funding account
2. Open a new SAVINGS account
3. Open 'Accounts Overview' and compare balance</t>
  </si>
  <si>
    <t>Type: SAVINGS</t>
  </si>
  <si>
    <t>Funding account balance is reduced by the opening amount and the new account shows that amount.</t>
  </si>
  <si>
    <t>TC-ON-05</t>
  </si>
  <si>
    <t>Verify Open New Account page elements</t>
  </si>
  <si>
    <t>1. Click 'Open New Account'
2. Check the dropdowns and button</t>
  </si>
  <si>
    <t>Account type dropdown (CHECKING, SAVINGS), funding account dropdown with existing accounts, and 'Open New Account' button are displayed.</t>
  </si>
  <si>
    <t>TC-ON-06</t>
  </si>
  <si>
    <t>Verify opening three accounts one after another</t>
  </si>
  <si>
    <t>1. Open a SAVINGS account
2. Open a CHECKING account
3. Open another SAVINGS account
4. Check 'Accounts Overview'</t>
  </si>
  <si>
    <t>Types: SAVINGS, CHECKING, SAVINGS</t>
  </si>
  <si>
    <t>All three accounts are created with unique account numbers and listed in the overview.</t>
  </si>
  <si>
    <t>TC-ON-07</t>
  </si>
  <si>
    <t>Verify Open New Account page cannot be accessed without login</t>
  </si>
  <si>
    <t>1. Open https://parabank.parasoft.com/parabank/openaccount.htm in the browser</t>
  </si>
  <si>
    <t>Page content is not displayed; user is asked to log in or an error is shown.</t>
  </si>
  <si>
    <t>TC-AO-01</t>
  </si>
  <si>
    <t>TS_06 - Accounts Overview Functionality</t>
  </si>
  <si>
    <t>Verify Accounts Overview shows all accounts with balance</t>
  </si>
  <si>
    <t>1. Click 'Accounts Overview'</t>
  </si>
  <si>
    <t>All accounts are listed with Account number, Balance and Available Amount.</t>
  </si>
  <si>
    <t>TC-AO-02</t>
  </si>
  <si>
    <t>Verify total balance equals sum of all account balances</t>
  </si>
  <si>
    <t>User ghanshyam18n is registered and logged in to ParaBank; at least 2 accounts (Checking + Savings) exist</t>
  </si>
  <si>
    <t>1. Open 'Accounts Overview'
2. Add the balances of all listed accounts
3. Compare with the Total row</t>
  </si>
  <si>
    <t>Total shown is equal to the sum of all account balances.</t>
  </si>
  <si>
    <t>TC-AO-03</t>
  </si>
  <si>
    <t>Verify account number link opens Account Details</t>
  </si>
  <si>
    <t>1. Open 'Accounts Overview'
2. Click any account number</t>
  </si>
  <si>
    <t>Account Details page of the selected account is displayed.</t>
  </si>
  <si>
    <t>TC-AO-04</t>
  </si>
  <si>
    <t>Verify balances are updated after a fund transfer</t>
  </si>
  <si>
    <t>1. Note balances in Accounts Overview
2. Transfer $50 between two accounts
3. Open Accounts Overview again</t>
  </si>
  <si>
    <t>Amount: $50</t>
  </si>
  <si>
    <t>Source balance is reduced by $50 and destination balance is increased by $50.</t>
  </si>
  <si>
    <t>TC-AO-05</t>
  </si>
  <si>
    <t>Verify all left panel navigation links work</t>
  </si>
  <si>
    <t>1. Click each link in the left panel one by one (Open New Account, Accounts Overview, Transfer Funds, Bill Pay, Find Transactions, Update Contact Info, Request Loan, Log Out)</t>
  </si>
  <si>
    <t>Each link opens its respective page without error.</t>
  </si>
  <si>
    <t>TC-AA-01</t>
  </si>
  <si>
    <t>TS_07 - Account Activity Functionality</t>
  </si>
  <si>
    <t>Verify Account Details page information</t>
  </si>
  <si>
    <t>1. Open 'Accounts Overview'
2. Click an account number</t>
  </si>
  <si>
    <t>Account Number, Account Type, Balance and Available balance are displayed correctly.</t>
  </si>
  <si>
    <t>TC-AA-02</t>
  </si>
  <si>
    <t>Verify Account Activity with period All and type All</t>
  </si>
  <si>
    <t>User ghanshyam18n is registered and logged in to ParaBank; account has transactions</t>
  </si>
  <si>
    <t>1. Open Account Details
2. Select Activity Period 'All' and Type 'All'
3. Click 'Go'</t>
  </si>
  <si>
    <t>Period: All
Type: All</t>
  </si>
  <si>
    <t>All transactions of the account are listed with Date, Transaction and Debit/Credit columns.</t>
  </si>
  <si>
    <t>TC-AA-03</t>
  </si>
  <si>
    <t>Verify Account Activity filter by Credit type</t>
  </si>
  <si>
    <t>User ghanshyam18n is registered and logged in to ParaBank; account has credit transactions</t>
  </si>
  <si>
    <t>1. Open Account Details
2. Select Type 'Credit'
3. Click 'Go'</t>
  </si>
  <si>
    <t>Period: All
Type: Credit</t>
  </si>
  <si>
    <t>Only credit transactions are displayed.</t>
  </si>
  <si>
    <t>TC-AA-04</t>
  </si>
  <si>
    <t>Verify Account Activity filter by Debit type</t>
  </si>
  <si>
    <t>User ghanshyam18n is registered and logged in to ParaBank; account has debit transactions</t>
  </si>
  <si>
    <t>1. Open Account Details
2. Select Type 'Debit'
3. Click 'Go'</t>
  </si>
  <si>
    <t>Period: All
Type: Debit</t>
  </si>
  <si>
    <t>Only debit transactions are displayed.</t>
  </si>
  <si>
    <t>TC-AA-05</t>
  </si>
  <si>
    <t>Verify Transaction Details page opens from activity list</t>
  </si>
  <si>
    <t>1. Open Account Activity list
2. Click a transaction description</t>
  </si>
  <si>
    <t>Transaction ID, Date, Description, Type and Amount are displayed.</t>
  </si>
  <si>
    <t>TC-TF-01</t>
  </si>
  <si>
    <t>TS_08 - Transfer Funds Functionality</t>
  </si>
  <si>
    <t>Verify transfer of valid amount between own accounts</t>
  </si>
  <si>
    <t>1. Click 'Transfer Funds'
2. Enter amount
3. Select From account (Checking) and To account (Savings)
4. Click 'Transfer'</t>
  </si>
  <si>
    <t>Amount: 50
From: Checking
To: Savings</t>
  </si>
  <si>
    <t>'Transfer Complete!' is shown with $50.00 amount and both account numbers.</t>
  </si>
  <si>
    <t>TC-TF-02</t>
  </si>
  <si>
    <t>Verify balances after successful transfer</t>
  </si>
  <si>
    <t>1. Note both balances
2. Transfer $50 from Checking to Savings
3. Check balances in Accounts Overview</t>
  </si>
  <si>
    <t>Amount: 50</t>
  </si>
  <si>
    <t>Checking is reduced by $50 and Savings is increased by $50.</t>
  </si>
  <si>
    <t>TC-TF-03</t>
  </si>
  <si>
    <t>Verify transfer of amount with decimal value</t>
  </si>
  <si>
    <t>1. Enter decimal amount
2. Select From and To accounts
3. Click 'Transfer'</t>
  </si>
  <si>
    <t>Amount: 50.75</t>
  </si>
  <si>
    <t>Transfer completes and exact amount $50.75 is shown and deducted.</t>
  </si>
  <si>
    <t>TC-TF-04</t>
  </si>
  <si>
    <t>Verify transfer with amount zero</t>
  </si>
  <si>
    <t>1. Enter 0 as amount
2. Select accounts
3. Click 'Transfer'</t>
  </si>
  <si>
    <t>Amount: 0</t>
  </si>
  <si>
    <t>Transfer is rejected with an error message.</t>
  </si>
  <si>
    <t>TC-TF-05</t>
  </si>
  <si>
    <t>Verify transfer with negative amount</t>
  </si>
  <si>
    <t>1. Enter negative amount
2. Select accounts
3. Click 'Transfer'</t>
  </si>
  <si>
    <t>Amount: -50</t>
  </si>
  <si>
    <t>Transfer is rejected with an error message; balances are unchanged.</t>
  </si>
  <si>
    <t>TC-TF-06</t>
  </si>
  <si>
    <t>Verify transfer with amount greater than available balance</t>
  </si>
  <si>
    <t>1. Enter a very large amount
2. Select accounts
3. Click 'Transfer'</t>
  </si>
  <si>
    <t>Amount: 99999999</t>
  </si>
  <si>
    <t>Transfer is rejected for insufficient funds; balances are unchanged.</t>
  </si>
  <si>
    <t>TC-TF-07</t>
  </si>
  <si>
    <t>Verify transfer with alphabets in amount</t>
  </si>
  <si>
    <t>1. Enter alphabets in amount
2. Click 'Transfer'</t>
  </si>
  <si>
    <t>Amount: abc</t>
  </si>
  <si>
    <t>Transfer is rejected with a valid-amount error message.</t>
  </si>
  <si>
    <t>TC-TF-08</t>
  </si>
  <si>
    <t>Verify transfer with special characters in amount</t>
  </si>
  <si>
    <t>1. Enter special characters in amount
2. Click 'Transfer'</t>
  </si>
  <si>
    <t>Amount: $@#</t>
  </si>
  <si>
    <t>TC-TF-09</t>
  </si>
  <si>
    <t>Verify transfer with amount field blank</t>
  </si>
  <si>
    <t>1. Leave amount empty
2. Click 'Transfer'</t>
  </si>
  <si>
    <t>Amount: (blank)</t>
  </si>
  <si>
    <t>Transfer is rejected with an error message asking for amount.</t>
  </si>
  <si>
    <t>TC-TF-10</t>
  </si>
  <si>
    <t>Verify transfer when From and To account are the same</t>
  </si>
  <si>
    <t>1. Enter amount
2. Select same account in From and To
3. Click 'Transfer'</t>
  </si>
  <si>
    <t>Amount: 50
From = To: Checking</t>
  </si>
  <si>
    <t>Transfer should be rejected or shown as invalid; balance must not change.</t>
  </si>
  <si>
    <t>TC-TF-11</t>
  </si>
  <si>
    <t>Verify Transfer Funds page cannot be accessed without login</t>
  </si>
  <si>
    <t>1. Open https://parabank.parasoft.com/parabank/transfer.htm in the browser</t>
  </si>
  <si>
    <t>TC-BP-01</t>
  </si>
  <si>
    <t>TS_09 - Bill Pay Functionality</t>
  </si>
  <si>
    <t>Verify bill payment with valid payee details</t>
  </si>
  <si>
    <t>1. Click 'Bill Pay'
2. Enter payee details, account number, verify account number and amount
3. Select From account
4. Click 'Send Payment'</t>
  </si>
  <si>
    <t>Payee: Airtel Hyderabad
Address: Begumpet Main Road
City: Hyderabad
State: Telangana
Zip: 500016
Phone: 9876543210
Account: 12345
Verify: 12345
Amount: 250</t>
  </si>
  <si>
    <t>'Bill Payment Complete' is shown with payee name, amount $250.00 and the From account number.</t>
  </si>
  <si>
    <t>TC-BP-02</t>
  </si>
  <si>
    <t>Verify account balance is reduced after bill payment</t>
  </si>
  <si>
    <t>1. Note the From account balance
2. Make a bill payment of $250
3. Check 'Accounts Overview'</t>
  </si>
  <si>
    <t>Amount: 250</t>
  </si>
  <si>
    <t>From account balance is reduced by $250.</t>
  </si>
  <si>
    <t>TC-BP-03</t>
  </si>
  <si>
    <t>Verify bill payment appears in transactions</t>
  </si>
  <si>
    <t>User ghanshyam18n is registered and logged in to ParaBank; a bill payment was made</t>
  </si>
  <si>
    <t>1. Open Account Details of the From account
2. Click 'Go' with period All</t>
  </si>
  <si>
    <t>Payee: Airtel Hyderabad
Amount: 250</t>
  </si>
  <si>
    <t>A debit transaction for the bill payment is listed with correct amount.</t>
  </si>
  <si>
    <t>TC-BP-04</t>
  </si>
  <si>
    <t>Verify bill payment with all fields blank</t>
  </si>
  <si>
    <t>1. Open 'Bill Pay'
2. Click 'Send Payment' without entering data</t>
  </si>
  <si>
    <t>Payment is not made; required field error messages are displayed.</t>
  </si>
  <si>
    <t>TC-BP-05</t>
  </si>
  <si>
    <t>Verify bill payment when account numbers do not match</t>
  </si>
  <si>
    <t>1. Enter all details
2. Enter different values in Account and Verify Account
3. Click 'Send Payment'</t>
  </si>
  <si>
    <t>Account: 12345
Verify: 54321
Amount: 250</t>
  </si>
  <si>
    <t>Payment is not made; 'account numbers do not match' error is shown.</t>
  </si>
  <si>
    <t>TC-BP-06</t>
  </si>
  <si>
    <t>Verify bill payment with amount blank</t>
  </si>
  <si>
    <t>1. Enter all details except amount
2. Click 'Send Payment'</t>
  </si>
  <si>
    <t>Payment is not made; error message for amount is shown.</t>
  </si>
  <si>
    <t>TC-BP-07</t>
  </si>
  <si>
    <t>Verify bill payment with negative amount</t>
  </si>
  <si>
    <t>1. Enter all details with negative amount
2. Click 'Send Payment'</t>
  </si>
  <si>
    <t>Amount: -100</t>
  </si>
  <si>
    <t>Payment is not made; invalid amount error is shown.</t>
  </si>
  <si>
    <t>TC-BP-08</t>
  </si>
  <si>
    <t>Verify bill payment with alphabets in amount</t>
  </si>
  <si>
    <t>1. Enter all details with alphabets in amount
2. Click 'Send Payment'</t>
  </si>
  <si>
    <t>TC-BP-09</t>
  </si>
  <si>
    <t>Verify bill payment with alphabets in payee account number</t>
  </si>
  <si>
    <t>1. Enter alphabets in Account and Verify Account
2. Click 'Send Payment'</t>
  </si>
  <si>
    <t>Account: abcde
Verify: abcde
Amount: 250</t>
  </si>
  <si>
    <t>Payment is not made; invalid account number error is shown.</t>
  </si>
  <si>
    <t>TC-BP-10</t>
  </si>
  <si>
    <t>Verify bill payment with amount greater than available balance</t>
  </si>
  <si>
    <t>1. Enter all details with a very large amount
2. Click 'Send Payment'</t>
  </si>
  <si>
    <t>Payment is not made for insufficient funds; balance is unchanged.</t>
  </si>
  <si>
    <t>TC-BP-11</t>
  </si>
  <si>
    <t>Verify Bill Pay page cannot be accessed without login</t>
  </si>
  <si>
    <t>1. Open https://parabank.parasoft.com/parabank/billpay.htm in the browser</t>
  </si>
  <si>
    <t>TC-FT-01</t>
  </si>
  <si>
    <t>TS_10 - Find Transactions Functionality</t>
  </si>
  <si>
    <t>Verify find transaction by amount</t>
  </si>
  <si>
    <t>User ghanshyam18n is registered and logged in to ParaBank; a $50 transfer was done</t>
  </si>
  <si>
    <t>1. Click 'Find Transactions'
2. Select account
3. Enter amount in 'Find by Amount'
4. Click the Find button</t>
  </si>
  <si>
    <t>Transactions with amount $50.00 are displayed in Transaction Results.</t>
  </si>
  <si>
    <t>TC-FT-02</t>
  </si>
  <si>
    <t>Verify find transaction by date</t>
  </si>
  <si>
    <t>User ghanshyam18n is registered and logged in to ParaBank; transactions exist for the date</t>
  </si>
  <si>
    <t>1. Open 'Find Transactions'
2. Enter date in 'Find by Date'
3. Click the Find button</t>
  </si>
  <si>
    <t>Date: 10-23-2026 (MM-DD-YYYY)</t>
  </si>
  <si>
    <t>All transactions done on that date are displayed.</t>
  </si>
  <si>
    <t>TC-FT-03</t>
  </si>
  <si>
    <t>Verify find transaction by date range</t>
  </si>
  <si>
    <t>User ghanshyam18n is registered and logged in to ParaBank; transactions exist in the range</t>
  </si>
  <si>
    <t>1. Open 'Find Transactions'
2. Enter From and To date
3. Click the Find button</t>
  </si>
  <si>
    <t>From: 10-01-2026
To: 10-31-2026</t>
  </si>
  <si>
    <t>Transactions within the date range are displayed.</t>
  </si>
  <si>
    <t>TC-FT-04</t>
  </si>
  <si>
    <t>Verify find transaction by transaction ID</t>
  </si>
  <si>
    <t>User ghanshyam18n is registered and logged in to ParaBank; transaction ID is available from Transaction Details</t>
  </si>
  <si>
    <t>1. Note a transaction ID from Transaction Details
2. Open 'Find Transactions'
3. Enter the ID and click Find</t>
  </si>
  <si>
    <t>Transaction ID: (taken from application)</t>
  </si>
  <si>
    <t>The matching transaction is displayed.</t>
  </si>
  <si>
    <t>TC-FT-05</t>
  </si>
  <si>
    <t>Verify find transaction with alphabets in amount</t>
  </si>
  <si>
    <t>1. Open 'Find Transactions'
2. Enter alphabets in amount
3. Click the Find button</t>
  </si>
  <si>
    <t>Search is rejected with an invalid amount error message.</t>
  </si>
  <si>
    <t>TC-FT-06</t>
  </si>
  <si>
    <t>Verify find transaction with wrong date format</t>
  </si>
  <si>
    <t>1. Open 'Find Transactions'
2. Enter date in a wrong format
3. Click the Find button</t>
  </si>
  <si>
    <t>Date: 2026/10/23</t>
  </si>
  <si>
    <t>Search is rejected with an invalid date format error message.</t>
  </si>
  <si>
    <t>TC-FT-07</t>
  </si>
  <si>
    <t>Verify find transaction with no matching record</t>
  </si>
  <si>
    <t>1. Open 'Find Transactions'
2. Enter an amount that was never used
3. Click the Find button</t>
  </si>
  <si>
    <t>Amount: 987654</t>
  </si>
  <si>
    <t>No transactions are displayed and a proper 'no result' message is shown.</t>
  </si>
  <si>
    <t>TC-FT-08</t>
  </si>
  <si>
    <t>Verify find transaction with all criteria blank</t>
  </si>
  <si>
    <t>1. Open 'Find Transactions'
2. Click the Find button without any input</t>
  </si>
  <si>
    <t>Search is rejected with an error message.</t>
  </si>
  <si>
    <t>TC-CI-01</t>
  </si>
  <si>
    <t>TS_11 - Update Contact Info Functionality</t>
  </si>
  <si>
    <t>Verify Update Contact Info page shows registered details</t>
  </si>
  <si>
    <t>1. Click 'Update Contact Info'</t>
  </si>
  <si>
    <t>Form is pre-filled with the details given during registration.</t>
  </si>
  <si>
    <t>TC-CI-02</t>
  </si>
  <si>
    <t>Verify updating address, zip code and phone number</t>
  </si>
  <si>
    <t>1. Open 'Update Contact Info'
2. Change Address, Zip Code and Phone
3. Click 'Update Profile'</t>
  </si>
  <si>
    <t>Address: Banjara Hills
Zip Code: 500034
Phone: 9876501234</t>
  </si>
  <si>
    <t>'Profile Updated' message is displayed.</t>
  </si>
  <si>
    <t>TC-CI-03</t>
  </si>
  <si>
    <t>Verify updated details are saved after logout and login</t>
  </si>
  <si>
    <t>User ghanshyam18n is registered and logged in to ParaBank; profile was updated</t>
  </si>
  <si>
    <t>1. Log out
2. Log in again
3. Open 'Update Contact Info'</t>
  </si>
  <si>
    <t>Updated Address, Zip Code and Phone are displayed.</t>
  </si>
  <si>
    <t>TC-CI-04</t>
  </si>
  <si>
    <t>Verify update with First Name blank</t>
  </si>
  <si>
    <t>1. Clear First Name
2. Click 'Update Profile'</t>
  </si>
  <si>
    <t>First Name: (blank)</t>
  </si>
  <si>
    <t>Profile is not updated; 'First name is required' error is shown.</t>
  </si>
  <si>
    <t>TC-CI-05</t>
  </si>
  <si>
    <t>Verify update with Zip Code blank</t>
  </si>
  <si>
    <t>1. Clear Zip Code
2. Click 'Update Profile'</t>
  </si>
  <si>
    <t>Zip Code: (blank)</t>
  </si>
  <si>
    <t>Profile is not updated; 'Zip Code is required' error is shown.</t>
  </si>
  <si>
    <t>TC-CI-06</t>
  </si>
  <si>
    <t>Verify update with alphabets in Phone number</t>
  </si>
  <si>
    <t>1. Enter alphabets in Phone #
2. Click 'Update Profile'</t>
  </si>
  <si>
    <t>Phone: abcdefghij</t>
  </si>
  <si>
    <t>Profile should not be updated; an invalid phone number message is expected.</t>
  </si>
  <si>
    <t>TC-RL-01</t>
  </si>
  <si>
    <t>TS_12 - Request Loan Functionality</t>
  </si>
  <si>
    <t>Verify loan request with valid loan and down payment amount</t>
  </si>
  <si>
    <t>1. Click 'Request Loan'
2. Enter Loan Amount and Down Payment
3. Select From account
4. Click 'Apply Now'</t>
  </si>
  <si>
    <t>Loan Amount: 5000
Down Payment: 500</t>
  </si>
  <si>
    <t>Loan Request Processed page is displayed with status 'Approved'.</t>
  </si>
  <si>
    <t>TC-RL-02</t>
  </si>
  <si>
    <t>Verify loan result details after approval</t>
  </si>
  <si>
    <t>User ghanshyam18n is registered and logged in to ParaBank; loan request was approved</t>
  </si>
  <si>
    <t>1. Check the Loan Request Processed page</t>
  </si>
  <si>
    <t>Loan Provider, Response Date, Status and the new account number are displayed.</t>
  </si>
  <si>
    <t>TC-RL-03</t>
  </si>
  <si>
    <t>Verify loan request with very high loan amount and low down payment</t>
  </si>
  <si>
    <t>1. Enter high loan amount and low down payment
2. Click 'Apply Now'</t>
  </si>
  <si>
    <t>Loan Amount: 100000
Down Payment: 100</t>
  </si>
  <si>
    <t>Loan request is 'Denied' with a reason message.</t>
  </si>
  <si>
    <t>TC-RL-04</t>
  </si>
  <si>
    <t>Verify loan request when down payment is more than account balance</t>
  </si>
  <si>
    <t>1. Enter a down payment higher than the available balance
2. Click 'Apply Now'</t>
  </si>
  <si>
    <t>Loan Amount: 5000
Down Payment: 99999999</t>
  </si>
  <si>
    <t>Loan request is denied for insufficient funds.</t>
  </si>
  <si>
    <t>TC-RL-05</t>
  </si>
  <si>
    <t>Verify loan request with loan amount blank</t>
  </si>
  <si>
    <t>1. Leave Loan Amount empty
2. Click 'Apply Now'</t>
  </si>
  <si>
    <t>Loan Amount: (blank)
Down Payment: 500</t>
  </si>
  <si>
    <t>Loan request is not processed; error message is shown.</t>
  </si>
  <si>
    <t>TC-RL-06</t>
  </si>
  <si>
    <t>Verify loan request with down payment blank</t>
  </si>
  <si>
    <t>1. Leave Down Payment empty
2. Click 'Apply Now'</t>
  </si>
  <si>
    <t>Loan Amount: 5000
Down Payment: (blank)</t>
  </si>
  <si>
    <t>TC-RL-07</t>
  </si>
  <si>
    <t>Verify loan request with negative loan amount</t>
  </si>
  <si>
    <t>1. Enter negative loan amount
2. Click 'Apply Now'</t>
  </si>
  <si>
    <t>Loan Amount: -5000
Down Payment: 500</t>
  </si>
  <si>
    <t>Loan request is not processed; invalid amount error is shown.</t>
  </si>
  <si>
    <t>TC-RL-08</t>
  </si>
  <si>
    <t>Verify loan request with alphabets in loan amount</t>
  </si>
  <si>
    <t>1. Enter alphabets in Loan Amount
2. Click 'Apply Now'</t>
  </si>
  <si>
    <t>Loan Amount: abc
Down Payment: 500</t>
  </si>
  <si>
    <t>REQUIREMENT TRACEABILITY MATRIX (RTM)</t>
  </si>
  <si>
    <t>Requirement ID</t>
  </si>
  <si>
    <t>Requirement Description</t>
  </si>
  <si>
    <t>Test Case IDs</t>
  </si>
  <si>
    <t>Pass</t>
  </si>
  <si>
    <t>Fail</t>
  </si>
  <si>
    <t>Blocked</t>
  </si>
  <si>
    <t>FR_01</t>
  </si>
  <si>
    <t>A new customer can register with personal details, username and password.</t>
  </si>
  <si>
    <t>TC-RF-01 to TC-RF-10</t>
  </si>
  <si>
    <t>FR_02</t>
  </si>
  <si>
    <t>A registered customer can log in with valid credentials and is blocked with invalid ones.</t>
  </si>
  <si>
    <t>TC-LF-01 to TC-LF-09</t>
  </si>
  <si>
    <t>FR_03</t>
  </si>
  <si>
    <t>A logged-in customer can log out and protected pages are no longer accessible.</t>
  </si>
  <si>
    <t>TC-LO-01 to TC-LO-03</t>
  </si>
  <si>
    <t>FR_04</t>
  </si>
  <si>
    <t>A customer can retrieve login information using personal details.</t>
  </si>
  <si>
    <t>TC-FL-01 to TC-FL-04</t>
  </si>
  <si>
    <t>FR_05</t>
  </si>
  <si>
    <t>A customer can open a new Checking or Savings account from an existing account.</t>
  </si>
  <si>
    <t>TC-ON-01 to TC-ON-07</t>
  </si>
  <si>
    <t>FR_06</t>
  </si>
  <si>
    <t>A customer can view all accounts with balance and available amount.</t>
  </si>
  <si>
    <t>TC-AO-01 to TC-AO-05</t>
  </si>
  <si>
    <t>FR_07</t>
  </si>
  <si>
    <t>A customer can view account details and filter account activity.</t>
  </si>
  <si>
    <t>TC-AA-01 to TC-AA-05</t>
  </si>
  <si>
    <t>FR_08</t>
  </si>
  <si>
    <t>A customer can transfer funds between own accounts with amount validation.</t>
  </si>
  <si>
    <t>TC-TF-01 to TC-TF-11</t>
  </si>
  <si>
    <t>FR_09</t>
  </si>
  <si>
    <t>A customer can pay bills to a payee from an account with proper validation.</t>
  </si>
  <si>
    <t>TC-BP-01 to TC-BP-11</t>
  </si>
  <si>
    <t>FR_10</t>
  </si>
  <si>
    <t>A customer can search transactions by ID, date, date range and amount.</t>
  </si>
  <si>
    <t>TC-FT-01 to TC-FT-08</t>
  </si>
  <si>
    <t>FR_11</t>
  </si>
  <si>
    <t>A customer can update address, zip code and phone number.</t>
  </si>
  <si>
    <t>TC-CI-01 to TC-CI-06</t>
  </si>
  <si>
    <t>FR_12</t>
  </si>
  <si>
    <t>A customer can request a loan with a down payment and get approved or denied status.</t>
  </si>
  <si>
    <t>TC-RL-01 to TC-RL-08</t>
  </si>
  <si>
    <t>DEFECT LOG</t>
  </si>
  <si>
    <t>Defect ID</t>
  </si>
  <si>
    <t>Defect Summary</t>
  </si>
  <si>
    <t>Steps to Reproduce</t>
  </si>
  <si>
    <t>Severity</t>
  </si>
  <si>
    <t>Status</t>
  </si>
  <si>
    <t>Reported By</t>
  </si>
  <si>
    <t>Reported Date</t>
  </si>
  <si>
    <t>DEF_01 (sample)</t>
  </si>
  <si>
    <t>Registration accepts alphabets in Zip Code</t>
  </si>
  <si>
    <t>1. Open Register page
2. Enter ABCDE in Zip Code
3. Fill other fields
4. Click Register</t>
  </si>
  <si>
    <t>Validation message for invalid Zip Code</t>
  </si>
  <si>
    <t>Account created without any validation</t>
  </si>
  <si>
    <t>Medium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</si>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</sst>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6" x14ac:knownFonts="1">
    <font>
      <sz val="11"/>
      <color theme="1"/>
      <name val="Calibri"/>
      <family val="2"/>
      <charset val="1"/>
    </font>
    <font>
      <b/>
      <sz val="14"/>
      <color rgb="FF000000"/>
      <name val="Aptos Narrow"/>
      <charset val="1"/>
    </font>
    <font>
      <b/>
      <sz val="11"/>
      <color rgb="FF000000"/>
      <name val="Aptos Narrow"/>
      <charset val="1"/>
    </font>
    <font>
      <sz val="11"/>
      <color rgb="FF000000"/>
      <name val="Aptos Narrow"/>
      <charset val="1"/>
    </font>
    <font>
      <i/>
      <sz val="11"/>
      <color rgb="FF000000"/>
      <name val="Aptos Narrow"/>
      <charset val="1"/>
    </font>
    <font>
      <i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AF2D0"/>
        <bgColor rgb="FFC6EFCE"/>
      </patternFill>
    </fill>
    <fill>
      <patternFill patternType="solid">
        <fgColor rgb="FFA9D18E"/>
        <b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left" vertical="center"/>
    </xf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0" fontId="1" fillId="0" borderId="0" xfId="0" applyFont="1"/>
    <xf numFmtId="0" fontId="4" fillId="0" borderId="0" xfId="0" applyFont="1"/>
    <xf numFmtId="164" fontId="3" fillId="0" borderId="1" xfId="0" applyNumberFormat="1" applyFont="1" applyBorder="1" applyAlignment="1">
      <alignment horizontal="left" vertical="top" wrapText="1"/>
    </xf>
    <xf numFmtId="0" fontId="3" fillId="4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7F7F7F"/>
      <rgbColor rgb="FF9999FF"/>
      <rgbColor rgb="FF993366"/>
      <rgbColor rgb="FFFFFFCC"/>
      <rgbColor rgb="FFC6EFC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AF2D0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zoomScaleNormal="100" workbookViewId="0">
      <selection activeCell="C9" sqref="C9"/>
    </sheetView>
  </sheetViews>
  <sheetFormatPr defaultColWidth="8.7109375" defaultRowHeight="15" x14ac:dyDescent="0.25"/>
  <cols>
    <col min="1" max="1" width="26" customWidth="1"/>
    <col min="2" max="2" width="62" customWidth="1"/>
  </cols>
  <sheetData>
    <row r="1" spans="1:2" ht="18.75" x14ac:dyDescent="0.3">
      <c r="A1" s="2" t="s">
        <v>0</v>
      </c>
      <c r="B1" s="2"/>
    </row>
    <row r="3" spans="1:2" x14ac:dyDescent="0.25">
      <c r="A3" s="3" t="s">
        <v>1</v>
      </c>
      <c r="B3" s="4" t="s">
        <v>2</v>
      </c>
    </row>
    <row r="4" spans="1:2" x14ac:dyDescent="0.25">
      <c r="A4" s="3" t="s">
        <v>3</v>
      </c>
      <c r="B4" s="4" t="s">
        <v>4</v>
      </c>
    </row>
    <row r="5" spans="1:2" x14ac:dyDescent="0.25">
      <c r="A5" s="3" t="s">
        <v>5</v>
      </c>
      <c r="B5" s="18" t="s">
        <v>6</v>
      </c>
    </row>
    <row r="6" spans="1:2" x14ac:dyDescent="0.25">
      <c r="A6" s="3" t="s">
        <v>7</v>
      </c>
      <c r="B6" s="4" t="s">
        <v>8</v>
      </c>
    </row>
    <row r="7" spans="1:2" x14ac:dyDescent="0.25">
      <c r="A7" s="3" t="s">
        <v>9</v>
      </c>
      <c r="B7" s="4" t="s">
        <v>10</v>
      </c>
    </row>
    <row r="8" spans="1:2" x14ac:dyDescent="0.25">
      <c r="A8" s="3" t="s">
        <v>11</v>
      </c>
      <c r="B8" s="4" t="s">
        <v>12</v>
      </c>
    </row>
    <row r="9" spans="1:2" x14ac:dyDescent="0.25">
      <c r="A9" s="3" t="s">
        <v>13</v>
      </c>
      <c r="B9" s="4" t="s">
        <v>14</v>
      </c>
    </row>
    <row r="10" spans="1:2" x14ac:dyDescent="0.25">
      <c r="A10" s="3" t="s">
        <v>15</v>
      </c>
      <c r="B10" s="4" t="s">
        <v>16</v>
      </c>
    </row>
    <row r="11" spans="1:2" x14ac:dyDescent="0.25">
      <c r="A11" s="3" t="s">
        <v>17</v>
      </c>
      <c r="B11" s="4" t="s">
        <v>18</v>
      </c>
    </row>
    <row r="12" spans="1:2" x14ac:dyDescent="0.25">
      <c r="A12" s="3" t="s">
        <v>19</v>
      </c>
      <c r="B12" s="4" t="s">
        <v>20</v>
      </c>
    </row>
    <row r="13" spans="1:2" x14ac:dyDescent="0.25">
      <c r="A13" s="3" t="s">
        <v>21</v>
      </c>
      <c r="B13" s="4" t="s">
        <v>22</v>
      </c>
    </row>
    <row r="14" spans="1:2" x14ac:dyDescent="0.25">
      <c r="A14" s="3" t="s">
        <v>23</v>
      </c>
      <c r="B14" s="5">
        <v>46257</v>
      </c>
    </row>
    <row r="16" spans="1:2" x14ac:dyDescent="0.25">
      <c r="A16" s="6" t="s">
        <v>24</v>
      </c>
    </row>
    <row r="17" spans="1:2" x14ac:dyDescent="0.25">
      <c r="A17" s="7" t="s">
        <v>25</v>
      </c>
      <c r="B17" s="7" t="s">
        <v>26</v>
      </c>
    </row>
    <row r="18" spans="1:2" x14ac:dyDescent="0.25">
      <c r="A18" s="8" t="s">
        <v>27</v>
      </c>
      <c r="B18" s="8" t="s">
        <v>28</v>
      </c>
    </row>
    <row r="19" spans="1:2" x14ac:dyDescent="0.25">
      <c r="A19" s="8" t="s">
        <v>29</v>
      </c>
      <c r="B19" s="8" t="s">
        <v>30</v>
      </c>
    </row>
    <row r="20" spans="1:2" x14ac:dyDescent="0.25">
      <c r="A20" s="8" t="s">
        <v>31</v>
      </c>
      <c r="B20" s="8" t="s">
        <v>32</v>
      </c>
    </row>
    <row r="21" spans="1:2" x14ac:dyDescent="0.25">
      <c r="A21" s="8" t="s">
        <v>33</v>
      </c>
      <c r="B21" s="8" t="s">
        <v>34</v>
      </c>
    </row>
    <row r="22" spans="1:2" x14ac:dyDescent="0.25">
      <c r="A22" s="8" t="s">
        <v>35</v>
      </c>
      <c r="B22" s="8" t="s">
        <v>36</v>
      </c>
    </row>
    <row r="24" spans="1:2" x14ac:dyDescent="0.25">
      <c r="A24" s="6" t="s">
        <v>37</v>
      </c>
    </row>
    <row r="25" spans="1:2" ht="45.75" customHeight="1" x14ac:dyDescent="0.25">
      <c r="A25" s="1" t="s">
        <v>38</v>
      </c>
      <c r="B25" s="1"/>
    </row>
    <row r="26" spans="1:2" ht="45.75" customHeight="1" x14ac:dyDescent="0.25">
      <c r="A26" s="1" t="s">
        <v>39</v>
      </c>
      <c r="B26" s="1"/>
    </row>
    <row r="27" spans="1:2" ht="45.75" customHeight="1" x14ac:dyDescent="0.25">
      <c r="A27" s="1" t="s">
        <v>40</v>
      </c>
      <c r="B27" s="1"/>
    </row>
    <row r="28" spans="1:2" ht="45.75" customHeight="1" x14ac:dyDescent="0.25">
      <c r="A28" s="1" t="s">
        <v>41</v>
      </c>
      <c r="B28" s="1"/>
    </row>
    <row r="29" spans="1:2" ht="45.75" customHeight="1" x14ac:dyDescent="0.25">
      <c r="A29" s="1"/>
      <c r="B29" s="1"/>
    </row>
  </sheetData>
  <mergeCells count="6">
    <mergeCell ref="A28:B28"/>
    <mergeCell ref="A29:B29"/>
    <mergeCell ref="A1:B1"/>
    <mergeCell ref="A25:B25"/>
    <mergeCell ref="A26:B26"/>
    <mergeCell ref="A27:B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pane ySplit="7" topLeftCell="A8" activePane="bottomLeft" state="frozen"/>
      <selection pane="bottomLeft" activeCell="D9" sqref="D9"/>
    </sheetView>
  </sheetViews>
  <sheetFormatPr defaultColWidth="8.7109375" defaultRowHeight="15" x14ac:dyDescent="0.25"/>
  <cols>
    <col min="1" max="1" width="17" customWidth="1"/>
    <col min="2" max="2" width="24" customWidth="1"/>
    <col min="3" max="3" width="12" customWidth="1"/>
    <col min="4" max="4" width="78" customWidth="1"/>
    <col min="5" max="5" width="10" customWidth="1"/>
    <col min="6" max="6" width="22" customWidth="1"/>
  </cols>
  <sheetData>
    <row r="1" spans="1:6" x14ac:dyDescent="0.25">
      <c r="A1" s="6" t="s">
        <v>1</v>
      </c>
      <c r="B1" s="9" t="s">
        <v>42</v>
      </c>
    </row>
    <row r="2" spans="1:6" x14ac:dyDescent="0.25">
      <c r="A2" s="6" t="s">
        <v>43</v>
      </c>
      <c r="B2" s="9" t="s">
        <v>44</v>
      </c>
    </row>
    <row r="3" spans="1:6" x14ac:dyDescent="0.25">
      <c r="A3" s="6" t="s">
        <v>45</v>
      </c>
      <c r="B3" s="9" t="s">
        <v>14</v>
      </c>
    </row>
    <row r="4" spans="1:6" x14ac:dyDescent="0.25">
      <c r="A4" s="6" t="s">
        <v>46</v>
      </c>
      <c r="B4" s="10">
        <v>46318</v>
      </c>
    </row>
    <row r="5" spans="1:6" x14ac:dyDescent="0.25">
      <c r="A5" s="6" t="s">
        <v>47</v>
      </c>
      <c r="B5" s="9"/>
    </row>
    <row r="7" spans="1:6" x14ac:dyDescent="0.25">
      <c r="A7" s="7" t="s">
        <v>48</v>
      </c>
      <c r="B7" s="7" t="s">
        <v>49</v>
      </c>
      <c r="C7" s="7" t="s">
        <v>50</v>
      </c>
      <c r="D7" s="7" t="s">
        <v>51</v>
      </c>
      <c r="E7" s="7" t="s">
        <v>52</v>
      </c>
      <c r="F7" s="7" t="s">
        <v>53</v>
      </c>
    </row>
    <row r="8" spans="1:6" x14ac:dyDescent="0.25">
      <c r="A8" s="11" t="s">
        <v>54</v>
      </c>
      <c r="B8" s="8" t="s">
        <v>55</v>
      </c>
      <c r="C8" s="11" t="s">
        <v>56</v>
      </c>
      <c r="D8" s="8" t="s">
        <v>57</v>
      </c>
      <c r="E8" s="11" t="s">
        <v>58</v>
      </c>
      <c r="F8" s="11">
        <f>COUNTIF('Test Cases'!$B$6:$B$500,A8&amp;"*")</f>
        <v>10</v>
      </c>
    </row>
    <row r="9" spans="1:6" x14ac:dyDescent="0.25">
      <c r="A9" s="11" t="s">
        <v>59</v>
      </c>
      <c r="B9" s="8" t="s">
        <v>60</v>
      </c>
      <c r="C9" s="11" t="s">
        <v>56</v>
      </c>
      <c r="D9" s="8" t="s">
        <v>61</v>
      </c>
      <c r="E9" s="11" t="s">
        <v>58</v>
      </c>
      <c r="F9" s="11">
        <f>COUNTIF('Test Cases'!$B$6:$B$500,A9&amp;"*")</f>
        <v>9</v>
      </c>
    </row>
    <row r="10" spans="1:6" x14ac:dyDescent="0.25">
      <c r="A10" s="11" t="s">
        <v>62</v>
      </c>
      <c r="B10" s="8" t="s">
        <v>60</v>
      </c>
      <c r="C10" s="11" t="s">
        <v>56</v>
      </c>
      <c r="D10" s="8" t="s">
        <v>63</v>
      </c>
      <c r="E10" s="11" t="s">
        <v>58</v>
      </c>
      <c r="F10" s="11">
        <f>COUNTIF('Test Cases'!$B$6:$B$500,A10&amp;"*")</f>
        <v>3</v>
      </c>
    </row>
    <row r="11" spans="1:6" x14ac:dyDescent="0.25">
      <c r="A11" s="11" t="s">
        <v>64</v>
      </c>
      <c r="B11" s="8" t="s">
        <v>60</v>
      </c>
      <c r="C11" s="11" t="s">
        <v>56</v>
      </c>
      <c r="D11" s="8" t="s">
        <v>65</v>
      </c>
      <c r="E11" s="11" t="s">
        <v>66</v>
      </c>
      <c r="F11" s="11">
        <f>COUNTIF('Test Cases'!$B$6:$B$500,A11&amp;"*")</f>
        <v>4</v>
      </c>
    </row>
    <row r="12" spans="1:6" x14ac:dyDescent="0.25">
      <c r="A12" s="11" t="s">
        <v>67</v>
      </c>
      <c r="B12" s="8" t="s">
        <v>68</v>
      </c>
      <c r="C12" s="11" t="s">
        <v>56</v>
      </c>
      <c r="D12" s="8" t="s">
        <v>69</v>
      </c>
      <c r="E12" s="11" t="s">
        <v>58</v>
      </c>
      <c r="F12" s="11">
        <f>COUNTIF('Test Cases'!$B$6:$B$500,A12&amp;"*")</f>
        <v>7</v>
      </c>
    </row>
    <row r="13" spans="1:6" x14ac:dyDescent="0.25">
      <c r="A13" s="11" t="s">
        <v>70</v>
      </c>
      <c r="B13" s="8" t="s">
        <v>71</v>
      </c>
      <c r="C13" s="11" t="s">
        <v>56</v>
      </c>
      <c r="D13" s="8" t="s">
        <v>72</v>
      </c>
      <c r="E13" s="11" t="s">
        <v>58</v>
      </c>
      <c r="F13" s="11">
        <f>COUNTIF('Test Cases'!$B$6:$B$500,A13&amp;"*")</f>
        <v>5</v>
      </c>
    </row>
    <row r="14" spans="1:6" x14ac:dyDescent="0.25">
      <c r="A14" s="11" t="s">
        <v>73</v>
      </c>
      <c r="B14" s="8" t="s">
        <v>71</v>
      </c>
      <c r="C14" s="11" t="s">
        <v>56</v>
      </c>
      <c r="D14" s="8" t="s">
        <v>74</v>
      </c>
      <c r="E14" s="11" t="s">
        <v>75</v>
      </c>
      <c r="F14" s="11">
        <f>COUNTIF('Test Cases'!$B$6:$B$500,A14&amp;"*")</f>
        <v>5</v>
      </c>
    </row>
    <row r="15" spans="1:6" x14ac:dyDescent="0.25">
      <c r="A15" s="11" t="s">
        <v>76</v>
      </c>
      <c r="B15" s="8" t="s">
        <v>77</v>
      </c>
      <c r="C15" s="11" t="s">
        <v>56</v>
      </c>
      <c r="D15" s="8" t="s">
        <v>78</v>
      </c>
      <c r="E15" s="11" t="s">
        <v>58</v>
      </c>
      <c r="F15" s="11">
        <f>COUNTIF('Test Cases'!$B$6:$B$500,A15&amp;"*")</f>
        <v>11</v>
      </c>
    </row>
    <row r="16" spans="1:6" x14ac:dyDescent="0.25">
      <c r="A16" s="11" t="s">
        <v>79</v>
      </c>
      <c r="B16" s="8" t="s">
        <v>80</v>
      </c>
      <c r="C16" s="11" t="s">
        <v>56</v>
      </c>
      <c r="D16" s="8" t="s">
        <v>81</v>
      </c>
      <c r="E16" s="11" t="s">
        <v>58</v>
      </c>
      <c r="F16" s="11">
        <f>COUNTIF('Test Cases'!$B$6:$B$500,A16&amp;"*")</f>
        <v>11</v>
      </c>
    </row>
    <row r="17" spans="1:6" x14ac:dyDescent="0.25">
      <c r="A17" s="11" t="s">
        <v>82</v>
      </c>
      <c r="B17" s="8" t="s">
        <v>83</v>
      </c>
      <c r="C17" s="11" t="s">
        <v>56</v>
      </c>
      <c r="D17" s="8" t="s">
        <v>84</v>
      </c>
      <c r="E17" s="11" t="s">
        <v>75</v>
      </c>
      <c r="F17" s="11">
        <f>COUNTIF('Test Cases'!$B$6:$B$500,A17&amp;"*")</f>
        <v>8</v>
      </c>
    </row>
    <row r="18" spans="1:6" x14ac:dyDescent="0.25">
      <c r="A18" s="11" t="s">
        <v>85</v>
      </c>
      <c r="B18" s="8" t="s">
        <v>86</v>
      </c>
      <c r="C18" s="11" t="s">
        <v>56</v>
      </c>
      <c r="D18" s="8" t="s">
        <v>87</v>
      </c>
      <c r="E18" s="11" t="s">
        <v>75</v>
      </c>
      <c r="F18" s="11">
        <f>COUNTIF('Test Cases'!$B$6:$B$500,A18&amp;"*")</f>
        <v>6</v>
      </c>
    </row>
    <row r="19" spans="1:6" x14ac:dyDescent="0.25">
      <c r="A19" s="11" t="s">
        <v>88</v>
      </c>
      <c r="B19" s="8" t="s">
        <v>89</v>
      </c>
      <c r="C19" s="11" t="s">
        <v>56</v>
      </c>
      <c r="D19" s="8" t="s">
        <v>90</v>
      </c>
      <c r="E19" s="11" t="s">
        <v>75</v>
      </c>
      <c r="F19" s="11">
        <f>COUNTIF('Test Cases'!$B$6:$B$500,A19&amp;"*")</f>
        <v>8</v>
      </c>
    </row>
    <row r="20" spans="1:6" x14ac:dyDescent="0.25">
      <c r="E20" s="12" t="s">
        <v>91</v>
      </c>
      <c r="F20" s="12">
        <f>SUM(F8:F19)</f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2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7" sqref="A7"/>
    </sheetView>
  </sheetViews>
  <sheetFormatPr defaultColWidth="8.7109375" defaultRowHeight="15" x14ac:dyDescent="0.25"/>
  <cols>
    <col min="1" max="1" width="12" customWidth="1"/>
    <col min="2" max="2" width="30" customWidth="1"/>
    <col min="3" max="3" width="44" customWidth="1"/>
    <col min="4" max="4" width="36" customWidth="1"/>
    <col min="5" max="5" width="50" customWidth="1"/>
    <col min="6" max="6" width="34" customWidth="1"/>
    <col min="7" max="7" width="46" customWidth="1"/>
    <col min="8" max="8" width="26" customWidth="1"/>
    <col min="9" max="9" width="9" customWidth="1"/>
    <col min="10" max="10" width="14" customWidth="1"/>
  </cols>
  <sheetData>
    <row r="1" spans="1:10" x14ac:dyDescent="0.25">
      <c r="A1" s="13" t="s">
        <v>92</v>
      </c>
      <c r="B1" s="14" t="s">
        <v>44</v>
      </c>
    </row>
    <row r="2" spans="1:10" x14ac:dyDescent="0.25">
      <c r="A2" s="13" t="s">
        <v>13</v>
      </c>
      <c r="B2" s="14" t="s">
        <v>14</v>
      </c>
    </row>
    <row r="3" spans="1:10" x14ac:dyDescent="0.25">
      <c r="A3" s="13" t="s">
        <v>93</v>
      </c>
      <c r="B3" s="14" t="s">
        <v>94</v>
      </c>
    </row>
    <row r="5" spans="1:10" ht="30" x14ac:dyDescent="0.25">
      <c r="A5" s="7" t="s">
        <v>95</v>
      </c>
      <c r="B5" s="7" t="s">
        <v>51</v>
      </c>
      <c r="C5" s="7" t="s">
        <v>96</v>
      </c>
      <c r="D5" s="7" t="s">
        <v>97</v>
      </c>
      <c r="E5" s="7" t="s">
        <v>98</v>
      </c>
      <c r="F5" s="7" t="s">
        <v>99</v>
      </c>
      <c r="G5" s="7" t="s">
        <v>100</v>
      </c>
      <c r="H5" s="7" t="s">
        <v>101</v>
      </c>
      <c r="I5" s="7" t="s">
        <v>52</v>
      </c>
      <c r="J5" s="7" t="s">
        <v>102</v>
      </c>
    </row>
    <row r="6" spans="1:10" ht="165" x14ac:dyDescent="0.25">
      <c r="A6" s="11" t="s">
        <v>103</v>
      </c>
      <c r="B6" s="8" t="s">
        <v>104</v>
      </c>
      <c r="C6" s="8" t="s">
        <v>105</v>
      </c>
      <c r="D6" s="8" t="s">
        <v>106</v>
      </c>
      <c r="E6" s="8" t="s">
        <v>107</v>
      </c>
      <c r="F6" s="8" t="s">
        <v>108</v>
      </c>
      <c r="G6" s="8" t="s">
        <v>109</v>
      </c>
      <c r="H6" s="8"/>
      <c r="I6" s="11" t="s">
        <v>58</v>
      </c>
      <c r="J6" s="11" t="s">
        <v>110</v>
      </c>
    </row>
    <row r="7" spans="1:10" ht="60" x14ac:dyDescent="0.25">
      <c r="A7" s="11" t="s">
        <v>111</v>
      </c>
      <c r="B7" s="8" t="s">
        <v>104</v>
      </c>
      <c r="C7" s="8" t="s">
        <v>112</v>
      </c>
      <c r="D7" s="8" t="s">
        <v>106</v>
      </c>
      <c r="E7" s="8" t="s">
        <v>113</v>
      </c>
      <c r="F7" s="8" t="s">
        <v>114</v>
      </c>
      <c r="G7" s="8" t="s">
        <v>115</v>
      </c>
      <c r="H7" s="8"/>
      <c r="I7" s="11" t="s">
        <v>66</v>
      </c>
      <c r="J7" s="11" t="s">
        <v>110</v>
      </c>
    </row>
    <row r="8" spans="1:10" ht="30" x14ac:dyDescent="0.25">
      <c r="A8" s="11" t="s">
        <v>116</v>
      </c>
      <c r="B8" s="8" t="s">
        <v>104</v>
      </c>
      <c r="C8" s="8" t="s">
        <v>117</v>
      </c>
      <c r="D8" s="8" t="s">
        <v>118</v>
      </c>
      <c r="E8" s="8" t="s">
        <v>119</v>
      </c>
      <c r="F8" s="8" t="s">
        <v>120</v>
      </c>
      <c r="G8" s="8" t="s">
        <v>121</v>
      </c>
      <c r="H8" s="8"/>
      <c r="I8" s="11" t="s">
        <v>75</v>
      </c>
      <c r="J8" s="11" t="s">
        <v>110</v>
      </c>
    </row>
    <row r="9" spans="1:10" ht="165" x14ac:dyDescent="0.25">
      <c r="A9" s="11" t="s">
        <v>122</v>
      </c>
      <c r="B9" s="8" t="s">
        <v>104</v>
      </c>
      <c r="C9" s="8" t="s">
        <v>123</v>
      </c>
      <c r="D9" s="8" t="s">
        <v>118</v>
      </c>
      <c r="E9" s="8" t="s">
        <v>124</v>
      </c>
      <c r="F9" s="8" t="s">
        <v>125</v>
      </c>
      <c r="G9" s="8" t="s">
        <v>126</v>
      </c>
      <c r="H9" s="8"/>
      <c r="I9" s="11" t="s">
        <v>75</v>
      </c>
      <c r="J9" s="11" t="s">
        <v>110</v>
      </c>
    </row>
    <row r="10" spans="1:10" ht="165" x14ac:dyDescent="0.25">
      <c r="A10" s="11" t="s">
        <v>127</v>
      </c>
      <c r="B10" s="8" t="s">
        <v>104</v>
      </c>
      <c r="C10" s="8" t="s">
        <v>128</v>
      </c>
      <c r="D10" s="8" t="s">
        <v>118</v>
      </c>
      <c r="E10" s="8" t="s">
        <v>129</v>
      </c>
      <c r="F10" s="8" t="s">
        <v>130</v>
      </c>
      <c r="G10" s="8" t="s">
        <v>131</v>
      </c>
      <c r="H10" s="8"/>
      <c r="I10" s="11" t="s">
        <v>75</v>
      </c>
      <c r="J10" s="11" t="s">
        <v>110</v>
      </c>
    </row>
    <row r="11" spans="1:10" ht="165" x14ac:dyDescent="0.25">
      <c r="A11" s="11" t="s">
        <v>132</v>
      </c>
      <c r="B11" s="8" t="s">
        <v>104</v>
      </c>
      <c r="C11" s="8" t="s">
        <v>133</v>
      </c>
      <c r="D11" s="8" t="s">
        <v>118</v>
      </c>
      <c r="E11" s="8" t="s">
        <v>134</v>
      </c>
      <c r="F11" s="8" t="s">
        <v>135</v>
      </c>
      <c r="G11" s="8" t="s">
        <v>136</v>
      </c>
      <c r="H11" s="8"/>
      <c r="I11" s="11" t="s">
        <v>75</v>
      </c>
      <c r="J11" s="11" t="s">
        <v>110</v>
      </c>
    </row>
    <row r="12" spans="1:10" ht="165" x14ac:dyDescent="0.25">
      <c r="A12" s="11" t="s">
        <v>137</v>
      </c>
      <c r="B12" s="8" t="s">
        <v>104</v>
      </c>
      <c r="C12" s="8" t="s">
        <v>138</v>
      </c>
      <c r="D12" s="8" t="s">
        <v>118</v>
      </c>
      <c r="E12" s="8" t="s">
        <v>139</v>
      </c>
      <c r="F12" s="8" t="s">
        <v>140</v>
      </c>
      <c r="G12" s="8" t="s">
        <v>141</v>
      </c>
      <c r="H12" s="8"/>
      <c r="I12" s="11" t="s">
        <v>58</v>
      </c>
      <c r="J12" s="11" t="s">
        <v>110</v>
      </c>
    </row>
    <row r="13" spans="1:10" ht="165" x14ac:dyDescent="0.25">
      <c r="A13" s="11" t="s">
        <v>142</v>
      </c>
      <c r="B13" s="8" t="s">
        <v>104</v>
      </c>
      <c r="C13" s="8" t="s">
        <v>143</v>
      </c>
      <c r="D13" s="8" t="s">
        <v>144</v>
      </c>
      <c r="E13" s="8" t="s">
        <v>145</v>
      </c>
      <c r="F13" s="8" t="s">
        <v>108</v>
      </c>
      <c r="G13" s="8" t="s">
        <v>146</v>
      </c>
      <c r="H13" s="8"/>
      <c r="I13" s="11" t="s">
        <v>58</v>
      </c>
      <c r="J13" s="11" t="s">
        <v>110</v>
      </c>
    </row>
    <row r="14" spans="1:10" ht="165" x14ac:dyDescent="0.25">
      <c r="A14" s="11" t="s">
        <v>147</v>
      </c>
      <c r="B14" s="8" t="s">
        <v>104</v>
      </c>
      <c r="C14" s="8" t="s">
        <v>148</v>
      </c>
      <c r="D14" s="8" t="s">
        <v>118</v>
      </c>
      <c r="E14" s="8" t="s">
        <v>149</v>
      </c>
      <c r="F14" s="8" t="s">
        <v>150</v>
      </c>
      <c r="G14" s="8" t="s">
        <v>151</v>
      </c>
      <c r="H14" s="8"/>
      <c r="I14" s="11" t="s">
        <v>152</v>
      </c>
      <c r="J14" s="11" t="s">
        <v>110</v>
      </c>
    </row>
    <row r="15" spans="1:10" ht="165" x14ac:dyDescent="0.25">
      <c r="A15" s="11" t="s">
        <v>153</v>
      </c>
      <c r="B15" s="8" t="s">
        <v>104</v>
      </c>
      <c r="C15" s="8" t="s">
        <v>154</v>
      </c>
      <c r="D15" s="8" t="s">
        <v>118</v>
      </c>
      <c r="E15" s="8" t="s">
        <v>155</v>
      </c>
      <c r="F15" s="8" t="s">
        <v>156</v>
      </c>
      <c r="G15" s="8" t="s">
        <v>157</v>
      </c>
      <c r="H15" s="8"/>
      <c r="I15" s="11" t="s">
        <v>66</v>
      </c>
      <c r="J15" s="11" t="s">
        <v>110</v>
      </c>
    </row>
    <row r="16" spans="1:10" ht="60" x14ac:dyDescent="0.25">
      <c r="A16" s="11" t="s">
        <v>158</v>
      </c>
      <c r="B16" s="8" t="s">
        <v>159</v>
      </c>
      <c r="C16" s="8" t="s">
        <v>160</v>
      </c>
      <c r="D16" s="8" t="s">
        <v>106</v>
      </c>
      <c r="E16" s="8" t="s">
        <v>161</v>
      </c>
      <c r="F16" s="8" t="s">
        <v>162</v>
      </c>
      <c r="G16" s="8" t="s">
        <v>163</v>
      </c>
      <c r="H16" s="8"/>
      <c r="I16" s="11" t="s">
        <v>58</v>
      </c>
      <c r="J16" s="11" t="s">
        <v>110</v>
      </c>
    </row>
    <row r="17" spans="1:10" ht="60" x14ac:dyDescent="0.25">
      <c r="A17" s="11" t="s">
        <v>164</v>
      </c>
      <c r="B17" s="8" t="s">
        <v>159</v>
      </c>
      <c r="C17" s="8" t="s">
        <v>165</v>
      </c>
      <c r="D17" s="8" t="s">
        <v>106</v>
      </c>
      <c r="E17" s="8" t="s">
        <v>166</v>
      </c>
      <c r="F17" s="8" t="s">
        <v>167</v>
      </c>
      <c r="G17" s="8" t="s">
        <v>168</v>
      </c>
      <c r="H17" s="8"/>
      <c r="I17" s="11" t="s">
        <v>58</v>
      </c>
      <c r="J17" s="11" t="s">
        <v>110</v>
      </c>
    </row>
    <row r="18" spans="1:10" ht="60" x14ac:dyDescent="0.25">
      <c r="A18" s="11" t="s">
        <v>169</v>
      </c>
      <c r="B18" s="8" t="s">
        <v>159</v>
      </c>
      <c r="C18" s="8" t="s">
        <v>170</v>
      </c>
      <c r="D18" s="8" t="s">
        <v>106</v>
      </c>
      <c r="E18" s="8" t="s">
        <v>171</v>
      </c>
      <c r="F18" s="8" t="s">
        <v>172</v>
      </c>
      <c r="G18" s="8" t="s">
        <v>168</v>
      </c>
      <c r="H18" s="8"/>
      <c r="I18" s="11" t="s">
        <v>75</v>
      </c>
      <c r="J18" s="11" t="s">
        <v>110</v>
      </c>
    </row>
    <row r="19" spans="1:10" ht="60" x14ac:dyDescent="0.25">
      <c r="A19" s="11" t="s">
        <v>173</v>
      </c>
      <c r="B19" s="8" t="s">
        <v>159</v>
      </c>
      <c r="C19" s="8" t="s">
        <v>174</v>
      </c>
      <c r="D19" s="8" t="s">
        <v>106</v>
      </c>
      <c r="E19" s="8" t="s">
        <v>175</v>
      </c>
      <c r="F19" s="8" t="s">
        <v>176</v>
      </c>
      <c r="G19" s="8" t="s">
        <v>177</v>
      </c>
      <c r="H19" s="8"/>
      <c r="I19" s="11" t="s">
        <v>75</v>
      </c>
      <c r="J19" s="11" t="s">
        <v>110</v>
      </c>
    </row>
    <row r="20" spans="1:10" ht="60" x14ac:dyDescent="0.25">
      <c r="A20" s="11" t="s">
        <v>178</v>
      </c>
      <c r="B20" s="8" t="s">
        <v>159</v>
      </c>
      <c r="C20" s="8" t="s">
        <v>179</v>
      </c>
      <c r="D20" s="8" t="s">
        <v>106</v>
      </c>
      <c r="E20" s="8" t="s">
        <v>180</v>
      </c>
      <c r="F20" s="8" t="s">
        <v>181</v>
      </c>
      <c r="G20" s="8" t="s">
        <v>182</v>
      </c>
      <c r="H20" s="8"/>
      <c r="I20" s="11" t="s">
        <v>66</v>
      </c>
      <c r="J20" s="11" t="s">
        <v>110</v>
      </c>
    </row>
    <row r="21" spans="1:10" ht="60" x14ac:dyDescent="0.25">
      <c r="A21" s="11" t="s">
        <v>183</v>
      </c>
      <c r="B21" s="8" t="s">
        <v>159</v>
      </c>
      <c r="C21" s="8" t="s">
        <v>184</v>
      </c>
      <c r="D21" s="8" t="s">
        <v>106</v>
      </c>
      <c r="E21" s="8" t="s">
        <v>185</v>
      </c>
      <c r="F21" s="8" t="s">
        <v>186</v>
      </c>
      <c r="G21" s="8" t="s">
        <v>182</v>
      </c>
      <c r="H21" s="8"/>
      <c r="I21" s="11" t="s">
        <v>66</v>
      </c>
      <c r="J21" s="11" t="s">
        <v>110</v>
      </c>
    </row>
    <row r="22" spans="1:10" ht="60" x14ac:dyDescent="0.25">
      <c r="A22" s="11" t="s">
        <v>187</v>
      </c>
      <c r="B22" s="8" t="s">
        <v>159</v>
      </c>
      <c r="C22" s="8" t="s">
        <v>188</v>
      </c>
      <c r="D22" s="8" t="s">
        <v>106</v>
      </c>
      <c r="E22" s="8" t="s">
        <v>189</v>
      </c>
      <c r="F22" s="8" t="s">
        <v>190</v>
      </c>
      <c r="G22" s="8" t="s">
        <v>191</v>
      </c>
      <c r="H22" s="8"/>
      <c r="I22" s="11" t="s">
        <v>75</v>
      </c>
      <c r="J22" s="11" t="s">
        <v>110</v>
      </c>
    </row>
    <row r="23" spans="1:10" ht="60" x14ac:dyDescent="0.25">
      <c r="A23" s="11" t="s">
        <v>192</v>
      </c>
      <c r="B23" s="8" t="s">
        <v>159</v>
      </c>
      <c r="C23" s="8" t="s">
        <v>193</v>
      </c>
      <c r="D23" s="8" t="s">
        <v>106</v>
      </c>
      <c r="E23" s="8" t="s">
        <v>194</v>
      </c>
      <c r="F23" s="8" t="s">
        <v>195</v>
      </c>
      <c r="G23" s="8" t="s">
        <v>196</v>
      </c>
      <c r="H23" s="8"/>
      <c r="I23" s="11" t="s">
        <v>66</v>
      </c>
      <c r="J23" s="11" t="s">
        <v>110</v>
      </c>
    </row>
    <row r="24" spans="1:10" ht="60" x14ac:dyDescent="0.25">
      <c r="A24" s="11" t="s">
        <v>197</v>
      </c>
      <c r="B24" s="8" t="s">
        <v>159</v>
      </c>
      <c r="C24" s="8" t="s">
        <v>198</v>
      </c>
      <c r="D24" s="8" t="s">
        <v>106</v>
      </c>
      <c r="E24" s="8" t="s">
        <v>199</v>
      </c>
      <c r="F24" s="8" t="s">
        <v>114</v>
      </c>
      <c r="G24" s="8" t="s">
        <v>200</v>
      </c>
      <c r="H24" s="8"/>
      <c r="I24" s="11" t="s">
        <v>152</v>
      </c>
      <c r="J24" s="11" t="s">
        <v>110</v>
      </c>
    </row>
    <row r="25" spans="1:10" ht="30" x14ac:dyDescent="0.25">
      <c r="A25" s="11" t="s">
        <v>201</v>
      </c>
      <c r="B25" s="8" t="s">
        <v>202</v>
      </c>
      <c r="C25" s="8" t="s">
        <v>203</v>
      </c>
      <c r="D25" s="8" t="s">
        <v>204</v>
      </c>
      <c r="E25" s="8" t="s">
        <v>205</v>
      </c>
      <c r="F25" s="8" t="s">
        <v>114</v>
      </c>
      <c r="G25" s="8" t="s">
        <v>206</v>
      </c>
      <c r="H25" s="8"/>
      <c r="I25" s="11" t="s">
        <v>58</v>
      </c>
      <c r="J25" s="11" t="s">
        <v>110</v>
      </c>
    </row>
    <row r="26" spans="1:10" ht="30" x14ac:dyDescent="0.25">
      <c r="A26" s="11" t="s">
        <v>207</v>
      </c>
      <c r="B26" s="8" t="s">
        <v>202</v>
      </c>
      <c r="C26" s="8" t="s">
        <v>208</v>
      </c>
      <c r="D26" s="8" t="s">
        <v>204</v>
      </c>
      <c r="E26" s="8" t="s">
        <v>209</v>
      </c>
      <c r="F26" s="8" t="s">
        <v>114</v>
      </c>
      <c r="G26" s="8" t="s">
        <v>210</v>
      </c>
      <c r="H26" s="8"/>
      <c r="I26" s="11" t="s">
        <v>75</v>
      </c>
      <c r="J26" s="11" t="s">
        <v>110</v>
      </c>
    </row>
    <row r="27" spans="1:10" ht="45" x14ac:dyDescent="0.25">
      <c r="A27" s="11" t="s">
        <v>211</v>
      </c>
      <c r="B27" s="8" t="s">
        <v>202</v>
      </c>
      <c r="C27" s="8" t="s">
        <v>212</v>
      </c>
      <c r="D27" s="8" t="s">
        <v>213</v>
      </c>
      <c r="E27" s="8" t="s">
        <v>214</v>
      </c>
      <c r="F27" s="8" t="s">
        <v>114</v>
      </c>
      <c r="G27" s="8" t="s">
        <v>215</v>
      </c>
      <c r="H27" s="8"/>
      <c r="I27" s="11" t="s">
        <v>75</v>
      </c>
      <c r="J27" s="11" t="s">
        <v>110</v>
      </c>
    </row>
    <row r="28" spans="1:10" ht="60" x14ac:dyDescent="0.25">
      <c r="A28" s="11" t="s">
        <v>216</v>
      </c>
      <c r="B28" s="8" t="s">
        <v>217</v>
      </c>
      <c r="C28" s="8" t="s">
        <v>218</v>
      </c>
      <c r="D28" s="8" t="s">
        <v>106</v>
      </c>
      <c r="E28" s="8" t="s">
        <v>219</v>
      </c>
      <c r="F28" s="8" t="s">
        <v>114</v>
      </c>
      <c r="G28" s="8" t="s">
        <v>220</v>
      </c>
      <c r="H28" s="8"/>
      <c r="I28" s="11" t="s">
        <v>66</v>
      </c>
      <c r="J28" s="11" t="s">
        <v>110</v>
      </c>
    </row>
    <row r="29" spans="1:10" ht="105" x14ac:dyDescent="0.25">
      <c r="A29" s="11" t="s">
        <v>221</v>
      </c>
      <c r="B29" s="8" t="s">
        <v>217</v>
      </c>
      <c r="C29" s="8" t="s">
        <v>222</v>
      </c>
      <c r="D29" s="8" t="s">
        <v>223</v>
      </c>
      <c r="E29" s="8" t="s">
        <v>224</v>
      </c>
      <c r="F29" s="8" t="s">
        <v>225</v>
      </c>
      <c r="G29" s="8" t="s">
        <v>226</v>
      </c>
      <c r="H29" s="8"/>
      <c r="I29" s="11" t="s">
        <v>66</v>
      </c>
      <c r="J29" s="11" t="s">
        <v>110</v>
      </c>
    </row>
    <row r="30" spans="1:10" ht="30" x14ac:dyDescent="0.25">
      <c r="A30" s="11" t="s">
        <v>227</v>
      </c>
      <c r="B30" s="8" t="s">
        <v>217</v>
      </c>
      <c r="C30" s="8" t="s">
        <v>228</v>
      </c>
      <c r="D30" s="8" t="s">
        <v>229</v>
      </c>
      <c r="E30" s="8" t="s">
        <v>230</v>
      </c>
      <c r="F30" s="8" t="s">
        <v>231</v>
      </c>
      <c r="G30" s="8" t="s">
        <v>232</v>
      </c>
      <c r="H30" s="8"/>
      <c r="I30" s="11" t="s">
        <v>66</v>
      </c>
      <c r="J30" s="11" t="s">
        <v>110</v>
      </c>
    </row>
    <row r="31" spans="1:10" ht="30" x14ac:dyDescent="0.25">
      <c r="A31" s="11" t="s">
        <v>233</v>
      </c>
      <c r="B31" s="8" t="s">
        <v>217</v>
      </c>
      <c r="C31" s="8" t="s">
        <v>234</v>
      </c>
      <c r="D31" s="8" t="s">
        <v>229</v>
      </c>
      <c r="E31" s="8" t="s">
        <v>235</v>
      </c>
      <c r="F31" s="8" t="s">
        <v>120</v>
      </c>
      <c r="G31" s="8" t="s">
        <v>236</v>
      </c>
      <c r="H31" s="8"/>
      <c r="I31" s="11" t="s">
        <v>152</v>
      </c>
      <c r="J31" s="11" t="s">
        <v>110</v>
      </c>
    </row>
    <row r="32" spans="1:10" ht="60" x14ac:dyDescent="0.25">
      <c r="A32" s="11" t="s">
        <v>237</v>
      </c>
      <c r="B32" s="8" t="s">
        <v>238</v>
      </c>
      <c r="C32" s="8" t="s">
        <v>239</v>
      </c>
      <c r="D32" s="8" t="s">
        <v>204</v>
      </c>
      <c r="E32" s="8" t="s">
        <v>240</v>
      </c>
      <c r="F32" s="8" t="s">
        <v>241</v>
      </c>
      <c r="G32" s="8" t="s">
        <v>242</v>
      </c>
      <c r="H32" s="8"/>
      <c r="I32" s="11" t="s">
        <v>58</v>
      </c>
      <c r="J32" s="11" t="s">
        <v>110</v>
      </c>
    </row>
    <row r="33" spans="1:10" ht="60" x14ac:dyDescent="0.25">
      <c r="A33" s="11" t="s">
        <v>243</v>
      </c>
      <c r="B33" s="8" t="s">
        <v>238</v>
      </c>
      <c r="C33" s="8" t="s">
        <v>244</v>
      </c>
      <c r="D33" s="8" t="s">
        <v>204</v>
      </c>
      <c r="E33" s="8" t="s">
        <v>245</v>
      </c>
      <c r="F33" s="8" t="s">
        <v>246</v>
      </c>
      <c r="G33" s="8" t="s">
        <v>242</v>
      </c>
      <c r="H33" s="8"/>
      <c r="I33" s="11" t="s">
        <v>58</v>
      </c>
      <c r="J33" s="11" t="s">
        <v>110</v>
      </c>
    </row>
    <row r="34" spans="1:10" ht="45" x14ac:dyDescent="0.25">
      <c r="A34" s="11" t="s">
        <v>247</v>
      </c>
      <c r="B34" s="8" t="s">
        <v>238</v>
      </c>
      <c r="C34" s="8" t="s">
        <v>248</v>
      </c>
      <c r="D34" s="8" t="s">
        <v>249</v>
      </c>
      <c r="E34" s="8" t="s">
        <v>250</v>
      </c>
      <c r="F34" s="8" t="s">
        <v>251</v>
      </c>
      <c r="G34" s="8" t="s">
        <v>252</v>
      </c>
      <c r="H34" s="8"/>
      <c r="I34" s="11" t="s">
        <v>75</v>
      </c>
      <c r="J34" s="11" t="s">
        <v>110</v>
      </c>
    </row>
    <row r="35" spans="1:10" ht="45" x14ac:dyDescent="0.25">
      <c r="A35" s="11" t="s">
        <v>253</v>
      </c>
      <c r="B35" s="8" t="s">
        <v>238</v>
      </c>
      <c r="C35" s="8" t="s">
        <v>254</v>
      </c>
      <c r="D35" s="8" t="s">
        <v>204</v>
      </c>
      <c r="E35" s="8" t="s">
        <v>255</v>
      </c>
      <c r="F35" s="8" t="s">
        <v>256</v>
      </c>
      <c r="G35" s="8" t="s">
        <v>257</v>
      </c>
      <c r="H35" s="8"/>
      <c r="I35" s="11" t="s">
        <v>75</v>
      </c>
      <c r="J35" s="11" t="s">
        <v>110</v>
      </c>
    </row>
    <row r="36" spans="1:10" ht="60" x14ac:dyDescent="0.25">
      <c r="A36" s="11" t="s">
        <v>258</v>
      </c>
      <c r="B36" s="8" t="s">
        <v>238</v>
      </c>
      <c r="C36" s="8" t="s">
        <v>259</v>
      </c>
      <c r="D36" s="8" t="s">
        <v>204</v>
      </c>
      <c r="E36" s="8" t="s">
        <v>260</v>
      </c>
      <c r="F36" s="8" t="s">
        <v>114</v>
      </c>
      <c r="G36" s="8" t="s">
        <v>261</v>
      </c>
      <c r="H36" s="8"/>
      <c r="I36" s="11" t="s">
        <v>152</v>
      </c>
      <c r="J36" s="11" t="s">
        <v>110</v>
      </c>
    </row>
    <row r="37" spans="1:10" ht="60" x14ac:dyDescent="0.25">
      <c r="A37" s="11" t="s">
        <v>262</v>
      </c>
      <c r="B37" s="8" t="s">
        <v>238</v>
      </c>
      <c r="C37" s="8" t="s">
        <v>263</v>
      </c>
      <c r="D37" s="8" t="s">
        <v>204</v>
      </c>
      <c r="E37" s="8" t="s">
        <v>264</v>
      </c>
      <c r="F37" s="8" t="s">
        <v>265</v>
      </c>
      <c r="G37" s="8" t="s">
        <v>266</v>
      </c>
      <c r="H37" s="8"/>
      <c r="I37" s="11" t="s">
        <v>66</v>
      </c>
      <c r="J37" s="11" t="s">
        <v>110</v>
      </c>
    </row>
    <row r="38" spans="1:10" ht="45" x14ac:dyDescent="0.25">
      <c r="A38" s="11" t="s">
        <v>267</v>
      </c>
      <c r="B38" s="8" t="s">
        <v>238</v>
      </c>
      <c r="C38" s="8" t="s">
        <v>268</v>
      </c>
      <c r="D38" s="8" t="s">
        <v>213</v>
      </c>
      <c r="E38" s="8" t="s">
        <v>269</v>
      </c>
      <c r="F38" s="8" t="s">
        <v>114</v>
      </c>
      <c r="G38" s="8" t="s">
        <v>270</v>
      </c>
      <c r="H38" s="8"/>
      <c r="I38" s="11" t="s">
        <v>75</v>
      </c>
      <c r="J38" s="11" t="s">
        <v>110</v>
      </c>
    </row>
    <row r="39" spans="1:10" ht="30" x14ac:dyDescent="0.25">
      <c r="A39" s="11" t="s">
        <v>271</v>
      </c>
      <c r="B39" s="8" t="s">
        <v>272</v>
      </c>
      <c r="C39" s="8" t="s">
        <v>273</v>
      </c>
      <c r="D39" s="8" t="s">
        <v>204</v>
      </c>
      <c r="E39" s="8" t="s">
        <v>274</v>
      </c>
      <c r="F39" s="8" t="s">
        <v>114</v>
      </c>
      <c r="G39" s="8" t="s">
        <v>275</v>
      </c>
      <c r="H39" s="8"/>
      <c r="I39" s="11" t="s">
        <v>58</v>
      </c>
      <c r="J39" s="11" t="s">
        <v>110</v>
      </c>
    </row>
    <row r="40" spans="1:10" ht="45" x14ac:dyDescent="0.25">
      <c r="A40" s="11" t="s">
        <v>276</v>
      </c>
      <c r="B40" s="8" t="s">
        <v>272</v>
      </c>
      <c r="C40" s="8" t="s">
        <v>277</v>
      </c>
      <c r="D40" s="8" t="s">
        <v>278</v>
      </c>
      <c r="E40" s="8" t="s">
        <v>279</v>
      </c>
      <c r="F40" s="8" t="s">
        <v>114</v>
      </c>
      <c r="G40" s="8" t="s">
        <v>280</v>
      </c>
      <c r="H40" s="8"/>
      <c r="I40" s="11" t="s">
        <v>75</v>
      </c>
      <c r="J40" s="11" t="s">
        <v>110</v>
      </c>
    </row>
    <row r="41" spans="1:10" ht="30" x14ac:dyDescent="0.25">
      <c r="A41" s="11" t="s">
        <v>281</v>
      </c>
      <c r="B41" s="8" t="s">
        <v>272</v>
      </c>
      <c r="C41" s="8" t="s">
        <v>282</v>
      </c>
      <c r="D41" s="8" t="s">
        <v>204</v>
      </c>
      <c r="E41" s="8" t="s">
        <v>283</v>
      </c>
      <c r="F41" s="8" t="s">
        <v>114</v>
      </c>
      <c r="G41" s="8" t="s">
        <v>284</v>
      </c>
      <c r="H41" s="8"/>
      <c r="I41" s="11" t="s">
        <v>75</v>
      </c>
      <c r="J41" s="11" t="s">
        <v>110</v>
      </c>
    </row>
    <row r="42" spans="1:10" ht="45" x14ac:dyDescent="0.25">
      <c r="A42" s="11" t="s">
        <v>285</v>
      </c>
      <c r="B42" s="8" t="s">
        <v>272</v>
      </c>
      <c r="C42" s="8" t="s">
        <v>286</v>
      </c>
      <c r="D42" s="8" t="s">
        <v>278</v>
      </c>
      <c r="E42" s="8" t="s">
        <v>287</v>
      </c>
      <c r="F42" s="8" t="s">
        <v>288</v>
      </c>
      <c r="G42" s="8" t="s">
        <v>289</v>
      </c>
      <c r="H42" s="8"/>
      <c r="I42" s="11" t="s">
        <v>75</v>
      </c>
      <c r="J42" s="11" t="s">
        <v>110</v>
      </c>
    </row>
    <row r="43" spans="1:10" ht="60" x14ac:dyDescent="0.25">
      <c r="A43" s="11" t="s">
        <v>290</v>
      </c>
      <c r="B43" s="8" t="s">
        <v>272</v>
      </c>
      <c r="C43" s="8" t="s">
        <v>291</v>
      </c>
      <c r="D43" s="8" t="s">
        <v>204</v>
      </c>
      <c r="E43" s="8" t="s">
        <v>292</v>
      </c>
      <c r="F43" s="8" t="s">
        <v>114</v>
      </c>
      <c r="G43" s="8" t="s">
        <v>293</v>
      </c>
      <c r="H43" s="8"/>
      <c r="I43" s="11" t="s">
        <v>66</v>
      </c>
      <c r="J43" s="11" t="s">
        <v>110</v>
      </c>
    </row>
    <row r="44" spans="1:10" ht="30" x14ac:dyDescent="0.25">
      <c r="A44" s="11" t="s">
        <v>294</v>
      </c>
      <c r="B44" s="8" t="s">
        <v>295</v>
      </c>
      <c r="C44" s="8" t="s">
        <v>296</v>
      </c>
      <c r="D44" s="8" t="s">
        <v>204</v>
      </c>
      <c r="E44" s="8" t="s">
        <v>297</v>
      </c>
      <c r="F44" s="8" t="s">
        <v>114</v>
      </c>
      <c r="G44" s="8" t="s">
        <v>298</v>
      </c>
      <c r="H44" s="8"/>
      <c r="I44" s="11" t="s">
        <v>75</v>
      </c>
      <c r="J44" s="11" t="s">
        <v>110</v>
      </c>
    </row>
    <row r="45" spans="1:10" ht="45" x14ac:dyDescent="0.25">
      <c r="A45" s="11" t="s">
        <v>299</v>
      </c>
      <c r="B45" s="8" t="s">
        <v>295</v>
      </c>
      <c r="C45" s="8" t="s">
        <v>300</v>
      </c>
      <c r="D45" s="8" t="s">
        <v>301</v>
      </c>
      <c r="E45" s="8" t="s">
        <v>302</v>
      </c>
      <c r="F45" s="8" t="s">
        <v>303</v>
      </c>
      <c r="G45" s="8" t="s">
        <v>304</v>
      </c>
      <c r="H45" s="8"/>
      <c r="I45" s="11" t="s">
        <v>75</v>
      </c>
      <c r="J45" s="11" t="s">
        <v>110</v>
      </c>
    </row>
    <row r="46" spans="1:10" ht="45" x14ac:dyDescent="0.25">
      <c r="A46" s="11" t="s">
        <v>305</v>
      </c>
      <c r="B46" s="8" t="s">
        <v>295</v>
      </c>
      <c r="C46" s="8" t="s">
        <v>306</v>
      </c>
      <c r="D46" s="8" t="s">
        <v>307</v>
      </c>
      <c r="E46" s="8" t="s">
        <v>308</v>
      </c>
      <c r="F46" s="8" t="s">
        <v>309</v>
      </c>
      <c r="G46" s="8" t="s">
        <v>310</v>
      </c>
      <c r="H46" s="8"/>
      <c r="I46" s="11" t="s">
        <v>66</v>
      </c>
      <c r="J46" s="11" t="s">
        <v>110</v>
      </c>
    </row>
    <row r="47" spans="1:10" ht="45" x14ac:dyDescent="0.25">
      <c r="A47" s="11" t="s">
        <v>311</v>
      </c>
      <c r="B47" s="8" t="s">
        <v>295</v>
      </c>
      <c r="C47" s="8" t="s">
        <v>312</v>
      </c>
      <c r="D47" s="8" t="s">
        <v>313</v>
      </c>
      <c r="E47" s="8" t="s">
        <v>314</v>
      </c>
      <c r="F47" s="8" t="s">
        <v>315</v>
      </c>
      <c r="G47" s="8" t="s">
        <v>316</v>
      </c>
      <c r="H47" s="8"/>
      <c r="I47" s="11" t="s">
        <v>66</v>
      </c>
      <c r="J47" s="11" t="s">
        <v>110</v>
      </c>
    </row>
    <row r="48" spans="1:10" ht="45" x14ac:dyDescent="0.25">
      <c r="A48" s="11" t="s">
        <v>317</v>
      </c>
      <c r="B48" s="8" t="s">
        <v>295</v>
      </c>
      <c r="C48" s="8" t="s">
        <v>318</v>
      </c>
      <c r="D48" s="8" t="s">
        <v>301</v>
      </c>
      <c r="E48" s="8" t="s">
        <v>319</v>
      </c>
      <c r="F48" s="8" t="s">
        <v>114</v>
      </c>
      <c r="G48" s="8" t="s">
        <v>320</v>
      </c>
      <c r="H48" s="8"/>
      <c r="I48" s="11" t="s">
        <v>66</v>
      </c>
      <c r="J48" s="11" t="s">
        <v>110</v>
      </c>
    </row>
    <row r="49" spans="1:10" ht="75" x14ac:dyDescent="0.25">
      <c r="A49" s="11" t="s">
        <v>321</v>
      </c>
      <c r="B49" s="8" t="s">
        <v>322</v>
      </c>
      <c r="C49" s="8" t="s">
        <v>323</v>
      </c>
      <c r="D49" s="8" t="s">
        <v>278</v>
      </c>
      <c r="E49" s="8" t="s">
        <v>324</v>
      </c>
      <c r="F49" s="8" t="s">
        <v>325</v>
      </c>
      <c r="G49" s="8" t="s">
        <v>326</v>
      </c>
      <c r="H49" s="8"/>
      <c r="I49" s="11" t="s">
        <v>58</v>
      </c>
      <c r="J49" s="11" t="s">
        <v>110</v>
      </c>
    </row>
    <row r="50" spans="1:10" ht="45" x14ac:dyDescent="0.25">
      <c r="A50" s="11" t="s">
        <v>327</v>
      </c>
      <c r="B50" s="8" t="s">
        <v>322</v>
      </c>
      <c r="C50" s="8" t="s">
        <v>328</v>
      </c>
      <c r="D50" s="8" t="s">
        <v>278</v>
      </c>
      <c r="E50" s="8" t="s">
        <v>329</v>
      </c>
      <c r="F50" s="8" t="s">
        <v>330</v>
      </c>
      <c r="G50" s="8" t="s">
        <v>331</v>
      </c>
      <c r="H50" s="8"/>
      <c r="I50" s="11" t="s">
        <v>58</v>
      </c>
      <c r="J50" s="11" t="s">
        <v>110</v>
      </c>
    </row>
    <row r="51" spans="1:10" ht="45" x14ac:dyDescent="0.25">
      <c r="A51" s="11" t="s">
        <v>332</v>
      </c>
      <c r="B51" s="8" t="s">
        <v>322</v>
      </c>
      <c r="C51" s="8" t="s">
        <v>333</v>
      </c>
      <c r="D51" s="8" t="s">
        <v>278</v>
      </c>
      <c r="E51" s="8" t="s">
        <v>334</v>
      </c>
      <c r="F51" s="8" t="s">
        <v>335</v>
      </c>
      <c r="G51" s="8" t="s">
        <v>336</v>
      </c>
      <c r="H51" s="8"/>
      <c r="I51" s="11" t="s">
        <v>66</v>
      </c>
      <c r="J51" s="11" t="s">
        <v>110</v>
      </c>
    </row>
    <row r="52" spans="1:10" ht="45" x14ac:dyDescent="0.25">
      <c r="A52" s="11" t="s">
        <v>337</v>
      </c>
      <c r="B52" s="8" t="s">
        <v>322</v>
      </c>
      <c r="C52" s="8" t="s">
        <v>338</v>
      </c>
      <c r="D52" s="8" t="s">
        <v>278</v>
      </c>
      <c r="E52" s="8" t="s">
        <v>339</v>
      </c>
      <c r="F52" s="8" t="s">
        <v>340</v>
      </c>
      <c r="G52" s="8" t="s">
        <v>341</v>
      </c>
      <c r="H52" s="8"/>
      <c r="I52" s="11" t="s">
        <v>75</v>
      </c>
      <c r="J52" s="11" t="s">
        <v>110</v>
      </c>
    </row>
    <row r="53" spans="1:10" ht="45" x14ac:dyDescent="0.25">
      <c r="A53" s="11" t="s">
        <v>342</v>
      </c>
      <c r="B53" s="8" t="s">
        <v>322</v>
      </c>
      <c r="C53" s="8" t="s">
        <v>343</v>
      </c>
      <c r="D53" s="8" t="s">
        <v>278</v>
      </c>
      <c r="E53" s="8" t="s">
        <v>344</v>
      </c>
      <c r="F53" s="8" t="s">
        <v>345</v>
      </c>
      <c r="G53" s="8" t="s">
        <v>346</v>
      </c>
      <c r="H53" s="8"/>
      <c r="I53" s="11" t="s">
        <v>75</v>
      </c>
      <c r="J53" s="11" t="s">
        <v>110</v>
      </c>
    </row>
    <row r="54" spans="1:10" ht="45" x14ac:dyDescent="0.25">
      <c r="A54" s="11" t="s">
        <v>347</v>
      </c>
      <c r="B54" s="8" t="s">
        <v>322</v>
      </c>
      <c r="C54" s="8" t="s">
        <v>348</v>
      </c>
      <c r="D54" s="8" t="s">
        <v>278</v>
      </c>
      <c r="E54" s="8" t="s">
        <v>349</v>
      </c>
      <c r="F54" s="8" t="s">
        <v>350</v>
      </c>
      <c r="G54" s="8" t="s">
        <v>351</v>
      </c>
      <c r="H54" s="8"/>
      <c r="I54" s="11" t="s">
        <v>58</v>
      </c>
      <c r="J54" s="11" t="s">
        <v>110</v>
      </c>
    </row>
    <row r="55" spans="1:10" ht="45" x14ac:dyDescent="0.25">
      <c r="A55" s="11" t="s">
        <v>352</v>
      </c>
      <c r="B55" s="8" t="s">
        <v>322</v>
      </c>
      <c r="C55" s="8" t="s">
        <v>353</v>
      </c>
      <c r="D55" s="8" t="s">
        <v>278</v>
      </c>
      <c r="E55" s="8" t="s">
        <v>354</v>
      </c>
      <c r="F55" s="8" t="s">
        <v>355</v>
      </c>
      <c r="G55" s="8" t="s">
        <v>356</v>
      </c>
      <c r="H55" s="8"/>
      <c r="I55" s="11" t="s">
        <v>75</v>
      </c>
      <c r="J55" s="11" t="s">
        <v>110</v>
      </c>
    </row>
    <row r="56" spans="1:10" ht="45" x14ac:dyDescent="0.25">
      <c r="A56" s="11" t="s">
        <v>357</v>
      </c>
      <c r="B56" s="8" t="s">
        <v>322</v>
      </c>
      <c r="C56" s="8" t="s">
        <v>358</v>
      </c>
      <c r="D56" s="8" t="s">
        <v>278</v>
      </c>
      <c r="E56" s="8" t="s">
        <v>359</v>
      </c>
      <c r="F56" s="8" t="s">
        <v>360</v>
      </c>
      <c r="G56" s="8" t="s">
        <v>356</v>
      </c>
      <c r="H56" s="8"/>
      <c r="I56" s="11" t="s">
        <v>66</v>
      </c>
      <c r="J56" s="11" t="s">
        <v>110</v>
      </c>
    </row>
    <row r="57" spans="1:10" ht="45" x14ac:dyDescent="0.25">
      <c r="A57" s="11" t="s">
        <v>361</v>
      </c>
      <c r="B57" s="8" t="s">
        <v>322</v>
      </c>
      <c r="C57" s="8" t="s">
        <v>362</v>
      </c>
      <c r="D57" s="8" t="s">
        <v>278</v>
      </c>
      <c r="E57" s="8" t="s">
        <v>363</v>
      </c>
      <c r="F57" s="8" t="s">
        <v>364</v>
      </c>
      <c r="G57" s="8" t="s">
        <v>365</v>
      </c>
      <c r="H57" s="8"/>
      <c r="I57" s="11" t="s">
        <v>75</v>
      </c>
      <c r="J57" s="11" t="s">
        <v>110</v>
      </c>
    </row>
    <row r="58" spans="1:10" ht="45" x14ac:dyDescent="0.25">
      <c r="A58" s="11" t="s">
        <v>366</v>
      </c>
      <c r="B58" s="8" t="s">
        <v>322</v>
      </c>
      <c r="C58" s="8" t="s">
        <v>367</v>
      </c>
      <c r="D58" s="8" t="s">
        <v>278</v>
      </c>
      <c r="E58" s="8" t="s">
        <v>368</v>
      </c>
      <c r="F58" s="8" t="s">
        <v>369</v>
      </c>
      <c r="G58" s="8" t="s">
        <v>370</v>
      </c>
      <c r="H58" s="8"/>
      <c r="I58" s="11" t="s">
        <v>66</v>
      </c>
      <c r="J58" s="11" t="s">
        <v>110</v>
      </c>
    </row>
    <row r="59" spans="1:10" ht="45" x14ac:dyDescent="0.25">
      <c r="A59" s="11" t="s">
        <v>371</v>
      </c>
      <c r="B59" s="8" t="s">
        <v>322</v>
      </c>
      <c r="C59" s="8" t="s">
        <v>372</v>
      </c>
      <c r="D59" s="8" t="s">
        <v>213</v>
      </c>
      <c r="E59" s="8" t="s">
        <v>373</v>
      </c>
      <c r="F59" s="8" t="s">
        <v>114</v>
      </c>
      <c r="G59" s="8" t="s">
        <v>270</v>
      </c>
      <c r="H59" s="8"/>
      <c r="I59" s="11" t="s">
        <v>75</v>
      </c>
      <c r="J59" s="11" t="s">
        <v>110</v>
      </c>
    </row>
    <row r="60" spans="1:10" ht="135" x14ac:dyDescent="0.25">
      <c r="A60" s="11" t="s">
        <v>374</v>
      </c>
      <c r="B60" s="8" t="s">
        <v>375</v>
      </c>
      <c r="C60" s="8" t="s">
        <v>376</v>
      </c>
      <c r="D60" s="8" t="s">
        <v>204</v>
      </c>
      <c r="E60" s="8" t="s">
        <v>377</v>
      </c>
      <c r="F60" s="8" t="s">
        <v>378</v>
      </c>
      <c r="G60" s="8" t="s">
        <v>379</v>
      </c>
      <c r="H60" s="8"/>
      <c r="I60" s="11" t="s">
        <v>58</v>
      </c>
      <c r="J60" s="11" t="s">
        <v>110</v>
      </c>
    </row>
    <row r="61" spans="1:10" ht="45" x14ac:dyDescent="0.25">
      <c r="A61" s="11" t="s">
        <v>380</v>
      </c>
      <c r="B61" s="8" t="s">
        <v>375</v>
      </c>
      <c r="C61" s="8" t="s">
        <v>381</v>
      </c>
      <c r="D61" s="8" t="s">
        <v>204</v>
      </c>
      <c r="E61" s="8" t="s">
        <v>382</v>
      </c>
      <c r="F61" s="8" t="s">
        <v>383</v>
      </c>
      <c r="G61" s="8" t="s">
        <v>384</v>
      </c>
      <c r="H61" s="8"/>
      <c r="I61" s="11" t="s">
        <v>58</v>
      </c>
      <c r="J61" s="11" t="s">
        <v>110</v>
      </c>
    </row>
    <row r="62" spans="1:10" ht="45" x14ac:dyDescent="0.25">
      <c r="A62" s="11" t="s">
        <v>385</v>
      </c>
      <c r="B62" s="8" t="s">
        <v>375</v>
      </c>
      <c r="C62" s="8" t="s">
        <v>386</v>
      </c>
      <c r="D62" s="8" t="s">
        <v>387</v>
      </c>
      <c r="E62" s="8" t="s">
        <v>388</v>
      </c>
      <c r="F62" s="8" t="s">
        <v>389</v>
      </c>
      <c r="G62" s="8" t="s">
        <v>390</v>
      </c>
      <c r="H62" s="8"/>
      <c r="I62" s="11" t="s">
        <v>75</v>
      </c>
      <c r="J62" s="11" t="s">
        <v>110</v>
      </c>
    </row>
    <row r="63" spans="1:10" ht="30" x14ac:dyDescent="0.25">
      <c r="A63" s="11" t="s">
        <v>391</v>
      </c>
      <c r="B63" s="8" t="s">
        <v>375</v>
      </c>
      <c r="C63" s="8" t="s">
        <v>392</v>
      </c>
      <c r="D63" s="8" t="s">
        <v>204</v>
      </c>
      <c r="E63" s="8" t="s">
        <v>393</v>
      </c>
      <c r="F63" s="8" t="s">
        <v>120</v>
      </c>
      <c r="G63" s="8" t="s">
        <v>394</v>
      </c>
      <c r="H63" s="8"/>
      <c r="I63" s="11" t="s">
        <v>75</v>
      </c>
      <c r="J63" s="11" t="s">
        <v>110</v>
      </c>
    </row>
    <row r="64" spans="1:10" ht="45" x14ac:dyDescent="0.25">
      <c r="A64" s="11" t="s">
        <v>395</v>
      </c>
      <c r="B64" s="8" t="s">
        <v>375</v>
      </c>
      <c r="C64" s="8" t="s">
        <v>396</v>
      </c>
      <c r="D64" s="8" t="s">
        <v>204</v>
      </c>
      <c r="E64" s="8" t="s">
        <v>397</v>
      </c>
      <c r="F64" s="8" t="s">
        <v>398</v>
      </c>
      <c r="G64" s="8" t="s">
        <v>399</v>
      </c>
      <c r="H64" s="8"/>
      <c r="I64" s="11" t="s">
        <v>58</v>
      </c>
      <c r="J64" s="11" t="s">
        <v>110</v>
      </c>
    </row>
    <row r="65" spans="1:10" ht="30" x14ac:dyDescent="0.25">
      <c r="A65" s="11" t="s">
        <v>400</v>
      </c>
      <c r="B65" s="8" t="s">
        <v>375</v>
      </c>
      <c r="C65" s="8" t="s">
        <v>401</v>
      </c>
      <c r="D65" s="8" t="s">
        <v>204</v>
      </c>
      <c r="E65" s="8" t="s">
        <v>402</v>
      </c>
      <c r="F65" s="8" t="s">
        <v>364</v>
      </c>
      <c r="G65" s="8" t="s">
        <v>403</v>
      </c>
      <c r="H65" s="8"/>
      <c r="I65" s="11" t="s">
        <v>75</v>
      </c>
      <c r="J65" s="11" t="s">
        <v>110</v>
      </c>
    </row>
    <row r="66" spans="1:10" ht="30" x14ac:dyDescent="0.25">
      <c r="A66" s="11" t="s">
        <v>404</v>
      </c>
      <c r="B66" s="8" t="s">
        <v>375</v>
      </c>
      <c r="C66" s="8" t="s">
        <v>405</v>
      </c>
      <c r="D66" s="8" t="s">
        <v>204</v>
      </c>
      <c r="E66" s="8" t="s">
        <v>406</v>
      </c>
      <c r="F66" s="8" t="s">
        <v>407</v>
      </c>
      <c r="G66" s="8" t="s">
        <v>408</v>
      </c>
      <c r="H66" s="8"/>
      <c r="I66" s="11" t="s">
        <v>75</v>
      </c>
      <c r="J66" s="11" t="s">
        <v>110</v>
      </c>
    </row>
    <row r="67" spans="1:10" ht="30" x14ac:dyDescent="0.25">
      <c r="A67" s="11" t="s">
        <v>409</v>
      </c>
      <c r="B67" s="8" t="s">
        <v>375</v>
      </c>
      <c r="C67" s="8" t="s">
        <v>410</v>
      </c>
      <c r="D67" s="8" t="s">
        <v>204</v>
      </c>
      <c r="E67" s="8" t="s">
        <v>411</v>
      </c>
      <c r="F67" s="8" t="s">
        <v>355</v>
      </c>
      <c r="G67" s="8" t="s">
        <v>408</v>
      </c>
      <c r="H67" s="8"/>
      <c r="I67" s="11" t="s">
        <v>66</v>
      </c>
      <c r="J67" s="11" t="s">
        <v>110</v>
      </c>
    </row>
    <row r="68" spans="1:10" ht="45" x14ac:dyDescent="0.25">
      <c r="A68" s="11" t="s">
        <v>412</v>
      </c>
      <c r="B68" s="8" t="s">
        <v>375</v>
      </c>
      <c r="C68" s="8" t="s">
        <v>413</v>
      </c>
      <c r="D68" s="8" t="s">
        <v>204</v>
      </c>
      <c r="E68" s="8" t="s">
        <v>414</v>
      </c>
      <c r="F68" s="8" t="s">
        <v>415</v>
      </c>
      <c r="G68" s="8" t="s">
        <v>416</v>
      </c>
      <c r="H68" s="8"/>
      <c r="I68" s="11" t="s">
        <v>66</v>
      </c>
      <c r="J68" s="11" t="s">
        <v>110</v>
      </c>
    </row>
    <row r="69" spans="1:10" ht="30" x14ac:dyDescent="0.25">
      <c r="A69" s="11" t="s">
        <v>417</v>
      </c>
      <c r="B69" s="8" t="s">
        <v>375</v>
      </c>
      <c r="C69" s="8" t="s">
        <v>418</v>
      </c>
      <c r="D69" s="8" t="s">
        <v>204</v>
      </c>
      <c r="E69" s="8" t="s">
        <v>419</v>
      </c>
      <c r="F69" s="8" t="s">
        <v>350</v>
      </c>
      <c r="G69" s="8" t="s">
        <v>420</v>
      </c>
      <c r="H69" s="8"/>
      <c r="I69" s="11" t="s">
        <v>75</v>
      </c>
      <c r="J69" s="11" t="s">
        <v>110</v>
      </c>
    </row>
    <row r="70" spans="1:10" ht="45" x14ac:dyDescent="0.25">
      <c r="A70" s="11" t="s">
        <v>421</v>
      </c>
      <c r="B70" s="8" t="s">
        <v>375</v>
      </c>
      <c r="C70" s="8" t="s">
        <v>422</v>
      </c>
      <c r="D70" s="8" t="s">
        <v>213</v>
      </c>
      <c r="E70" s="8" t="s">
        <v>423</v>
      </c>
      <c r="F70" s="8" t="s">
        <v>114</v>
      </c>
      <c r="G70" s="8" t="s">
        <v>270</v>
      </c>
      <c r="H70" s="8"/>
      <c r="I70" s="11" t="s">
        <v>75</v>
      </c>
      <c r="J70" s="11" t="s">
        <v>110</v>
      </c>
    </row>
    <row r="71" spans="1:10" ht="60" x14ac:dyDescent="0.25">
      <c r="A71" s="11" t="s">
        <v>424</v>
      </c>
      <c r="B71" s="8" t="s">
        <v>425</v>
      </c>
      <c r="C71" s="8" t="s">
        <v>426</v>
      </c>
      <c r="D71" s="8" t="s">
        <v>427</v>
      </c>
      <c r="E71" s="8" t="s">
        <v>428</v>
      </c>
      <c r="F71" s="8" t="s">
        <v>330</v>
      </c>
      <c r="G71" s="8" t="s">
        <v>429</v>
      </c>
      <c r="H71" s="8"/>
      <c r="I71" s="11" t="s">
        <v>75</v>
      </c>
      <c r="J71" s="11" t="s">
        <v>110</v>
      </c>
    </row>
    <row r="72" spans="1:10" ht="45" x14ac:dyDescent="0.25">
      <c r="A72" s="11" t="s">
        <v>430</v>
      </c>
      <c r="B72" s="8" t="s">
        <v>425</v>
      </c>
      <c r="C72" s="8" t="s">
        <v>431</v>
      </c>
      <c r="D72" s="8" t="s">
        <v>432</v>
      </c>
      <c r="E72" s="8" t="s">
        <v>433</v>
      </c>
      <c r="F72" s="8" t="s">
        <v>434</v>
      </c>
      <c r="G72" s="8" t="s">
        <v>435</v>
      </c>
      <c r="H72" s="8"/>
      <c r="I72" s="11" t="s">
        <v>75</v>
      </c>
      <c r="J72" s="11" t="s">
        <v>110</v>
      </c>
    </row>
    <row r="73" spans="1:10" ht="45" x14ac:dyDescent="0.25">
      <c r="A73" s="11" t="s">
        <v>436</v>
      </c>
      <c r="B73" s="8" t="s">
        <v>425</v>
      </c>
      <c r="C73" s="8" t="s">
        <v>437</v>
      </c>
      <c r="D73" s="8" t="s">
        <v>438</v>
      </c>
      <c r="E73" s="8" t="s">
        <v>439</v>
      </c>
      <c r="F73" s="8" t="s">
        <v>440</v>
      </c>
      <c r="G73" s="8" t="s">
        <v>441</v>
      </c>
      <c r="H73" s="8"/>
      <c r="I73" s="11" t="s">
        <v>66</v>
      </c>
      <c r="J73" s="11" t="s">
        <v>110</v>
      </c>
    </row>
    <row r="74" spans="1:10" ht="45" x14ac:dyDescent="0.25">
      <c r="A74" s="11" t="s">
        <v>442</v>
      </c>
      <c r="B74" s="8" t="s">
        <v>425</v>
      </c>
      <c r="C74" s="8" t="s">
        <v>443</v>
      </c>
      <c r="D74" s="8" t="s">
        <v>444</v>
      </c>
      <c r="E74" s="8" t="s">
        <v>445</v>
      </c>
      <c r="F74" s="8" t="s">
        <v>446</v>
      </c>
      <c r="G74" s="8" t="s">
        <v>447</v>
      </c>
      <c r="H74" s="8"/>
      <c r="I74" s="11" t="s">
        <v>66</v>
      </c>
      <c r="J74" s="11" t="s">
        <v>110</v>
      </c>
    </row>
    <row r="75" spans="1:10" ht="45" x14ac:dyDescent="0.25">
      <c r="A75" s="11" t="s">
        <v>448</v>
      </c>
      <c r="B75" s="8" t="s">
        <v>425</v>
      </c>
      <c r="C75" s="8" t="s">
        <v>449</v>
      </c>
      <c r="D75" s="8" t="s">
        <v>204</v>
      </c>
      <c r="E75" s="8" t="s">
        <v>450</v>
      </c>
      <c r="F75" s="8" t="s">
        <v>355</v>
      </c>
      <c r="G75" s="8" t="s">
        <v>451</v>
      </c>
      <c r="H75" s="8"/>
      <c r="I75" s="11" t="s">
        <v>66</v>
      </c>
      <c r="J75" s="11" t="s">
        <v>110</v>
      </c>
    </row>
    <row r="76" spans="1:10" ht="45" x14ac:dyDescent="0.25">
      <c r="A76" s="11" t="s">
        <v>452</v>
      </c>
      <c r="B76" s="8" t="s">
        <v>425</v>
      </c>
      <c r="C76" s="8" t="s">
        <v>453</v>
      </c>
      <c r="D76" s="8" t="s">
        <v>204</v>
      </c>
      <c r="E76" s="8" t="s">
        <v>454</v>
      </c>
      <c r="F76" s="8" t="s">
        <v>455</v>
      </c>
      <c r="G76" s="8" t="s">
        <v>456</v>
      </c>
      <c r="H76" s="8"/>
      <c r="I76" s="11" t="s">
        <v>66</v>
      </c>
      <c r="J76" s="11" t="s">
        <v>110</v>
      </c>
    </row>
    <row r="77" spans="1:10" ht="45" x14ac:dyDescent="0.25">
      <c r="A77" s="11" t="s">
        <v>457</v>
      </c>
      <c r="B77" s="8" t="s">
        <v>425</v>
      </c>
      <c r="C77" s="8" t="s">
        <v>458</v>
      </c>
      <c r="D77" s="8" t="s">
        <v>204</v>
      </c>
      <c r="E77" s="8" t="s">
        <v>459</v>
      </c>
      <c r="F77" s="8" t="s">
        <v>460</v>
      </c>
      <c r="G77" s="8" t="s">
        <v>461</v>
      </c>
      <c r="H77" s="8"/>
      <c r="I77" s="11" t="s">
        <v>66</v>
      </c>
      <c r="J77" s="11" t="s">
        <v>110</v>
      </c>
    </row>
    <row r="78" spans="1:10" ht="30" x14ac:dyDescent="0.25">
      <c r="A78" s="11" t="s">
        <v>462</v>
      </c>
      <c r="B78" s="8" t="s">
        <v>425</v>
      </c>
      <c r="C78" s="8" t="s">
        <v>463</v>
      </c>
      <c r="D78" s="8" t="s">
        <v>204</v>
      </c>
      <c r="E78" s="8" t="s">
        <v>464</v>
      </c>
      <c r="F78" s="8" t="s">
        <v>120</v>
      </c>
      <c r="G78" s="8" t="s">
        <v>465</v>
      </c>
      <c r="H78" s="8"/>
      <c r="I78" s="11" t="s">
        <v>152</v>
      </c>
      <c r="J78" s="11" t="s">
        <v>110</v>
      </c>
    </row>
    <row r="79" spans="1:10" ht="30" x14ac:dyDescent="0.25">
      <c r="A79" s="11" t="s">
        <v>466</v>
      </c>
      <c r="B79" s="8" t="s">
        <v>467</v>
      </c>
      <c r="C79" s="8" t="s">
        <v>468</v>
      </c>
      <c r="D79" s="8" t="s">
        <v>204</v>
      </c>
      <c r="E79" s="8" t="s">
        <v>469</v>
      </c>
      <c r="F79" s="8" t="s">
        <v>114</v>
      </c>
      <c r="G79" s="8" t="s">
        <v>470</v>
      </c>
      <c r="H79" s="8"/>
      <c r="I79" s="11" t="s">
        <v>75</v>
      </c>
      <c r="J79" s="11" t="s">
        <v>110</v>
      </c>
    </row>
    <row r="80" spans="1:10" ht="45" x14ac:dyDescent="0.25">
      <c r="A80" s="11" t="s">
        <v>471</v>
      </c>
      <c r="B80" s="8" t="s">
        <v>467</v>
      </c>
      <c r="C80" s="8" t="s">
        <v>472</v>
      </c>
      <c r="D80" s="8" t="s">
        <v>204</v>
      </c>
      <c r="E80" s="8" t="s">
        <v>473</v>
      </c>
      <c r="F80" s="8" t="s">
        <v>474</v>
      </c>
      <c r="G80" s="8" t="s">
        <v>475</v>
      </c>
      <c r="H80" s="8"/>
      <c r="I80" s="11" t="s">
        <v>58</v>
      </c>
      <c r="J80" s="11" t="s">
        <v>110</v>
      </c>
    </row>
    <row r="81" spans="1:10" ht="45" x14ac:dyDescent="0.25">
      <c r="A81" s="11" t="s">
        <v>476</v>
      </c>
      <c r="B81" s="8" t="s">
        <v>467</v>
      </c>
      <c r="C81" s="8" t="s">
        <v>477</v>
      </c>
      <c r="D81" s="8" t="s">
        <v>478</v>
      </c>
      <c r="E81" s="8" t="s">
        <v>479</v>
      </c>
      <c r="F81" s="8" t="s">
        <v>162</v>
      </c>
      <c r="G81" s="8" t="s">
        <v>480</v>
      </c>
      <c r="H81" s="8"/>
      <c r="I81" s="11" t="s">
        <v>75</v>
      </c>
      <c r="J81" s="11" t="s">
        <v>110</v>
      </c>
    </row>
    <row r="82" spans="1:10" ht="30" x14ac:dyDescent="0.25">
      <c r="A82" s="11" t="s">
        <v>481</v>
      </c>
      <c r="B82" s="8" t="s">
        <v>467</v>
      </c>
      <c r="C82" s="8" t="s">
        <v>482</v>
      </c>
      <c r="D82" s="8" t="s">
        <v>204</v>
      </c>
      <c r="E82" s="8" t="s">
        <v>483</v>
      </c>
      <c r="F82" s="8" t="s">
        <v>484</v>
      </c>
      <c r="G82" s="8" t="s">
        <v>485</v>
      </c>
      <c r="H82" s="8"/>
      <c r="I82" s="11" t="s">
        <v>75</v>
      </c>
      <c r="J82" s="11" t="s">
        <v>110</v>
      </c>
    </row>
    <row r="83" spans="1:10" ht="30" x14ac:dyDescent="0.25">
      <c r="A83" s="11" t="s">
        <v>486</v>
      </c>
      <c r="B83" s="8" t="s">
        <v>467</v>
      </c>
      <c r="C83" s="8" t="s">
        <v>487</v>
      </c>
      <c r="D83" s="8" t="s">
        <v>204</v>
      </c>
      <c r="E83" s="8" t="s">
        <v>488</v>
      </c>
      <c r="F83" s="8" t="s">
        <v>489</v>
      </c>
      <c r="G83" s="8" t="s">
        <v>490</v>
      </c>
      <c r="H83" s="8"/>
      <c r="I83" s="11" t="s">
        <v>66</v>
      </c>
      <c r="J83" s="11" t="s">
        <v>110</v>
      </c>
    </row>
    <row r="84" spans="1:10" ht="30" x14ac:dyDescent="0.25">
      <c r="A84" s="11" t="s">
        <v>491</v>
      </c>
      <c r="B84" s="8" t="s">
        <v>467</v>
      </c>
      <c r="C84" s="8" t="s">
        <v>492</v>
      </c>
      <c r="D84" s="8" t="s">
        <v>204</v>
      </c>
      <c r="E84" s="8" t="s">
        <v>493</v>
      </c>
      <c r="F84" s="8" t="s">
        <v>494</v>
      </c>
      <c r="G84" s="8" t="s">
        <v>495</v>
      </c>
      <c r="H84" s="8"/>
      <c r="I84" s="11" t="s">
        <v>152</v>
      </c>
      <c r="J84" s="11" t="s">
        <v>110</v>
      </c>
    </row>
    <row r="85" spans="1:10" ht="60" x14ac:dyDescent="0.25">
      <c r="A85" s="11" t="s">
        <v>496</v>
      </c>
      <c r="B85" s="8" t="s">
        <v>497</v>
      </c>
      <c r="C85" s="8" t="s">
        <v>498</v>
      </c>
      <c r="D85" s="8" t="s">
        <v>204</v>
      </c>
      <c r="E85" s="8" t="s">
        <v>499</v>
      </c>
      <c r="F85" s="8" t="s">
        <v>500</v>
      </c>
      <c r="G85" s="8" t="s">
        <v>501</v>
      </c>
      <c r="H85" s="8"/>
      <c r="I85" s="11" t="s">
        <v>58</v>
      </c>
      <c r="J85" s="11" t="s">
        <v>110</v>
      </c>
    </row>
    <row r="86" spans="1:10" ht="45" x14ac:dyDescent="0.25">
      <c r="A86" s="11" t="s">
        <v>502</v>
      </c>
      <c r="B86" s="8" t="s">
        <v>497</v>
      </c>
      <c r="C86" s="8" t="s">
        <v>503</v>
      </c>
      <c r="D86" s="8" t="s">
        <v>504</v>
      </c>
      <c r="E86" s="8" t="s">
        <v>505</v>
      </c>
      <c r="F86" s="8" t="s">
        <v>500</v>
      </c>
      <c r="G86" s="8" t="s">
        <v>506</v>
      </c>
      <c r="H86" s="8"/>
      <c r="I86" s="11" t="s">
        <v>75</v>
      </c>
      <c r="J86" s="11" t="s">
        <v>110</v>
      </c>
    </row>
    <row r="87" spans="1:10" ht="30" x14ac:dyDescent="0.25">
      <c r="A87" s="11" t="s">
        <v>507</v>
      </c>
      <c r="B87" s="8" t="s">
        <v>497</v>
      </c>
      <c r="C87" s="8" t="s">
        <v>508</v>
      </c>
      <c r="D87" s="8" t="s">
        <v>204</v>
      </c>
      <c r="E87" s="8" t="s">
        <v>509</v>
      </c>
      <c r="F87" s="8" t="s">
        <v>510</v>
      </c>
      <c r="G87" s="8" t="s">
        <v>511</v>
      </c>
      <c r="H87" s="8"/>
      <c r="I87" s="11" t="s">
        <v>75</v>
      </c>
      <c r="J87" s="11" t="s">
        <v>110</v>
      </c>
    </row>
    <row r="88" spans="1:10" ht="45" x14ac:dyDescent="0.25">
      <c r="A88" s="11" t="s">
        <v>512</v>
      </c>
      <c r="B88" s="8" t="s">
        <v>497</v>
      </c>
      <c r="C88" s="8" t="s">
        <v>513</v>
      </c>
      <c r="D88" s="8" t="s">
        <v>204</v>
      </c>
      <c r="E88" s="8" t="s">
        <v>514</v>
      </c>
      <c r="F88" s="8" t="s">
        <v>515</v>
      </c>
      <c r="G88" s="8" t="s">
        <v>516</v>
      </c>
      <c r="H88" s="8"/>
      <c r="I88" s="11" t="s">
        <v>75</v>
      </c>
      <c r="J88" s="11" t="s">
        <v>110</v>
      </c>
    </row>
    <row r="89" spans="1:10" ht="30" x14ac:dyDescent="0.25">
      <c r="A89" s="11" t="s">
        <v>517</v>
      </c>
      <c r="B89" s="8" t="s">
        <v>497</v>
      </c>
      <c r="C89" s="8" t="s">
        <v>518</v>
      </c>
      <c r="D89" s="8" t="s">
        <v>204</v>
      </c>
      <c r="E89" s="8" t="s">
        <v>519</v>
      </c>
      <c r="F89" s="8" t="s">
        <v>520</v>
      </c>
      <c r="G89" s="8" t="s">
        <v>521</v>
      </c>
      <c r="H89" s="8"/>
      <c r="I89" s="11" t="s">
        <v>75</v>
      </c>
      <c r="J89" s="11" t="s">
        <v>110</v>
      </c>
    </row>
    <row r="90" spans="1:10" ht="30" x14ac:dyDescent="0.25">
      <c r="A90" s="11" t="s">
        <v>522</v>
      </c>
      <c r="B90" s="8" t="s">
        <v>497</v>
      </c>
      <c r="C90" s="8" t="s">
        <v>523</v>
      </c>
      <c r="D90" s="8" t="s">
        <v>204</v>
      </c>
      <c r="E90" s="8" t="s">
        <v>524</v>
      </c>
      <c r="F90" s="8" t="s">
        <v>525</v>
      </c>
      <c r="G90" s="8" t="s">
        <v>521</v>
      </c>
      <c r="H90" s="8"/>
      <c r="I90" s="11" t="s">
        <v>75</v>
      </c>
      <c r="J90" s="11" t="s">
        <v>110</v>
      </c>
    </row>
    <row r="91" spans="1:10" ht="30" x14ac:dyDescent="0.25">
      <c r="A91" s="11" t="s">
        <v>526</v>
      </c>
      <c r="B91" s="8" t="s">
        <v>497</v>
      </c>
      <c r="C91" s="8" t="s">
        <v>527</v>
      </c>
      <c r="D91" s="8" t="s">
        <v>204</v>
      </c>
      <c r="E91" s="8" t="s">
        <v>528</v>
      </c>
      <c r="F91" s="8" t="s">
        <v>529</v>
      </c>
      <c r="G91" s="8" t="s">
        <v>530</v>
      </c>
      <c r="H91" s="8"/>
      <c r="I91" s="11" t="s">
        <v>66</v>
      </c>
      <c r="J91" s="11" t="s">
        <v>110</v>
      </c>
    </row>
    <row r="92" spans="1:10" ht="30" x14ac:dyDescent="0.25">
      <c r="A92" s="11" t="s">
        <v>531</v>
      </c>
      <c r="B92" s="8" t="s">
        <v>497</v>
      </c>
      <c r="C92" s="8" t="s">
        <v>532</v>
      </c>
      <c r="D92" s="8" t="s">
        <v>204</v>
      </c>
      <c r="E92" s="8" t="s">
        <v>533</v>
      </c>
      <c r="F92" s="8" t="s">
        <v>534</v>
      </c>
      <c r="G92" s="8" t="s">
        <v>530</v>
      </c>
      <c r="H92" s="8"/>
      <c r="I92" s="11" t="s">
        <v>66</v>
      </c>
      <c r="J92" s="11" t="s">
        <v>110</v>
      </c>
    </row>
  </sheetData>
  <autoFilter ref="A5:J92" xr:uid="{00000000-0009-0000-0000-000002000000}"/>
  <conditionalFormatting sqref="J6:J92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2">
    <dataValidation type="list" sqref="J6:J92" xr:uid="{00000000-0002-0000-0200-000000000000}">
      <formula1>"Pass,Fail,Blocked,Not Executed"</formula1>
      <formula2>0</formula2>
    </dataValidation>
    <dataValidation type="list" sqref="I6:I92" xr:uid="{00000000-0002-0000-0200-000001000000}">
      <formula1>"P0,P1,P2,P3,P4"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topLeftCell="B1" zoomScaleNormal="100" workbookViewId="0">
      <pane ySplit="4" topLeftCell="A5" activePane="bottomLeft" state="frozen"/>
      <selection pane="bottomLeft" activeCell="E20" sqref="E20"/>
    </sheetView>
  </sheetViews>
  <sheetFormatPr defaultColWidth="8.7109375" defaultRowHeight="15" x14ac:dyDescent="0.25"/>
  <cols>
    <col min="1" max="1" width="14" customWidth="1"/>
    <col min="2" max="2" width="70" customWidth="1"/>
    <col min="3" max="3" width="22" customWidth="1"/>
    <col min="4" max="4" width="16" customWidth="1"/>
    <col min="5" max="5" width="26" customWidth="1"/>
    <col min="6" max="8" width="8" customWidth="1"/>
    <col min="9" max="9" width="10" customWidth="1"/>
    <col min="10" max="10" width="14" customWidth="1"/>
  </cols>
  <sheetData>
    <row r="1" spans="1:10" ht="18.75" x14ac:dyDescent="0.3">
      <c r="A1" s="20" t="s">
        <v>535</v>
      </c>
      <c r="B1" s="20"/>
    </row>
    <row r="2" spans="1:10" x14ac:dyDescent="0.25">
      <c r="A2" s="19"/>
      <c r="B2" s="19"/>
    </row>
    <row r="4" spans="1:10" ht="30" x14ac:dyDescent="0.25">
      <c r="A4" s="7" t="s">
        <v>536</v>
      </c>
      <c r="B4" s="7" t="s">
        <v>537</v>
      </c>
      <c r="C4" s="7" t="s">
        <v>49</v>
      </c>
      <c r="D4" s="7" t="s">
        <v>48</v>
      </c>
      <c r="E4" s="7" t="s">
        <v>538</v>
      </c>
      <c r="F4" s="7" t="s">
        <v>91</v>
      </c>
      <c r="G4" s="7" t="s">
        <v>539</v>
      </c>
      <c r="H4" s="7" t="s">
        <v>540</v>
      </c>
      <c r="I4" s="7" t="s">
        <v>541</v>
      </c>
      <c r="J4" s="7" t="s">
        <v>110</v>
      </c>
    </row>
    <row r="5" spans="1:10" x14ac:dyDescent="0.25">
      <c r="A5" s="11" t="s">
        <v>542</v>
      </c>
      <c r="B5" s="8" t="s">
        <v>543</v>
      </c>
      <c r="C5" s="8" t="s">
        <v>55</v>
      </c>
      <c r="D5" s="11" t="s">
        <v>54</v>
      </c>
      <c r="E5" s="8" t="s">
        <v>544</v>
      </c>
      <c r="F5" s="11">
        <f>COUNTIF('Test Cases'!$B$6:$B$500,D5&amp;"*")</f>
        <v>10</v>
      </c>
      <c r="G5" s="11">
        <f>COUNTIFS('Test Cases'!$B$6:$B$500,D5&amp;"*",'Test Cases'!$J$6:$J$500,"Pass")</f>
        <v>0</v>
      </c>
      <c r="H5" s="11">
        <f>COUNTIFS('Test Cases'!$B$6:$B$500,D5&amp;"*",'Test Cases'!$J$6:$J$500,"Fail")</f>
        <v>0</v>
      </c>
      <c r="I5" s="11">
        <f>COUNTIFS('Test Cases'!$B$6:$B$500,D5&amp;"*",'Test Cases'!$J$6:$J$500,"Blocked")</f>
        <v>0</v>
      </c>
      <c r="J5" s="11">
        <f>COUNTIFS('Test Cases'!$B$6:$B$500,D5&amp;"*",'Test Cases'!$J$6:$J$500,"Not Executed")</f>
        <v>10</v>
      </c>
    </row>
    <row r="6" spans="1:10" ht="30" x14ac:dyDescent="0.25">
      <c r="A6" s="11" t="s">
        <v>545</v>
      </c>
      <c r="B6" s="8" t="s">
        <v>546</v>
      </c>
      <c r="C6" s="8" t="s">
        <v>60</v>
      </c>
      <c r="D6" s="11" t="s">
        <v>59</v>
      </c>
      <c r="E6" s="8" t="s">
        <v>547</v>
      </c>
      <c r="F6" s="11">
        <f>COUNTIF('Test Cases'!$B$6:$B$500,D6&amp;"*")</f>
        <v>9</v>
      </c>
      <c r="G6" s="11">
        <f>COUNTIFS('Test Cases'!$B$6:$B$500,D6&amp;"*",'Test Cases'!$J$6:$J$500,"Pass")</f>
        <v>0</v>
      </c>
      <c r="H6" s="11">
        <f>COUNTIFS('Test Cases'!$B$6:$B$500,D6&amp;"*",'Test Cases'!$J$6:$J$500,"Fail")</f>
        <v>0</v>
      </c>
      <c r="I6" s="11">
        <f>COUNTIFS('Test Cases'!$B$6:$B$500,D6&amp;"*",'Test Cases'!$J$6:$J$500,"Blocked")</f>
        <v>0</v>
      </c>
      <c r="J6" s="11">
        <f>COUNTIFS('Test Cases'!$B$6:$B$500,D6&amp;"*",'Test Cases'!$J$6:$J$500,"Not Executed")</f>
        <v>9</v>
      </c>
    </row>
    <row r="7" spans="1:10" ht="30" x14ac:dyDescent="0.25">
      <c r="A7" s="11" t="s">
        <v>548</v>
      </c>
      <c r="B7" s="8" t="s">
        <v>549</v>
      </c>
      <c r="C7" s="8" t="s">
        <v>60</v>
      </c>
      <c r="D7" s="11" t="s">
        <v>62</v>
      </c>
      <c r="E7" s="8" t="s">
        <v>550</v>
      </c>
      <c r="F7" s="11">
        <f>COUNTIF('Test Cases'!$B$6:$B$500,D7&amp;"*")</f>
        <v>3</v>
      </c>
      <c r="G7" s="11">
        <f>COUNTIFS('Test Cases'!$B$6:$B$500,D7&amp;"*",'Test Cases'!$J$6:$J$500,"Pass")</f>
        <v>0</v>
      </c>
      <c r="H7" s="11">
        <f>COUNTIFS('Test Cases'!$B$6:$B$500,D7&amp;"*",'Test Cases'!$J$6:$J$500,"Fail")</f>
        <v>0</v>
      </c>
      <c r="I7" s="11">
        <f>COUNTIFS('Test Cases'!$B$6:$B$500,D7&amp;"*",'Test Cases'!$J$6:$J$500,"Blocked")</f>
        <v>0</v>
      </c>
      <c r="J7" s="11">
        <f>COUNTIFS('Test Cases'!$B$6:$B$500,D7&amp;"*",'Test Cases'!$J$6:$J$500,"Not Executed")</f>
        <v>3</v>
      </c>
    </row>
    <row r="8" spans="1:10" x14ac:dyDescent="0.25">
      <c r="A8" s="11" t="s">
        <v>551</v>
      </c>
      <c r="B8" s="8" t="s">
        <v>552</v>
      </c>
      <c r="C8" s="8" t="s">
        <v>60</v>
      </c>
      <c r="D8" s="11" t="s">
        <v>64</v>
      </c>
      <c r="E8" s="8" t="s">
        <v>553</v>
      </c>
      <c r="F8" s="11">
        <f>COUNTIF('Test Cases'!$B$6:$B$500,D8&amp;"*")</f>
        <v>4</v>
      </c>
      <c r="G8" s="11">
        <f>COUNTIFS('Test Cases'!$B$6:$B$500,D8&amp;"*",'Test Cases'!$J$6:$J$500,"Pass")</f>
        <v>0</v>
      </c>
      <c r="H8" s="11">
        <f>COUNTIFS('Test Cases'!$B$6:$B$500,D8&amp;"*",'Test Cases'!$J$6:$J$500,"Fail")</f>
        <v>0</v>
      </c>
      <c r="I8" s="11">
        <f>COUNTIFS('Test Cases'!$B$6:$B$500,D8&amp;"*",'Test Cases'!$J$6:$J$500,"Blocked")</f>
        <v>0</v>
      </c>
      <c r="J8" s="11">
        <f>COUNTIFS('Test Cases'!$B$6:$B$500,D8&amp;"*",'Test Cases'!$J$6:$J$500,"Not Executed")</f>
        <v>4</v>
      </c>
    </row>
    <row r="9" spans="1:10" ht="30" x14ac:dyDescent="0.25">
      <c r="A9" s="11" t="s">
        <v>554</v>
      </c>
      <c r="B9" s="8" t="s">
        <v>555</v>
      </c>
      <c r="C9" s="8" t="s">
        <v>68</v>
      </c>
      <c r="D9" s="11" t="s">
        <v>67</v>
      </c>
      <c r="E9" s="8" t="s">
        <v>556</v>
      </c>
      <c r="F9" s="11">
        <f>COUNTIF('Test Cases'!$B$6:$B$500,D9&amp;"*")</f>
        <v>7</v>
      </c>
      <c r="G9" s="11">
        <f>COUNTIFS('Test Cases'!$B$6:$B$500,D9&amp;"*",'Test Cases'!$J$6:$J$500,"Pass")</f>
        <v>0</v>
      </c>
      <c r="H9" s="11">
        <f>COUNTIFS('Test Cases'!$B$6:$B$500,D9&amp;"*",'Test Cases'!$J$6:$J$500,"Fail")</f>
        <v>0</v>
      </c>
      <c r="I9" s="11">
        <f>COUNTIFS('Test Cases'!$B$6:$B$500,D9&amp;"*",'Test Cases'!$J$6:$J$500,"Blocked")</f>
        <v>0</v>
      </c>
      <c r="J9" s="11">
        <f>COUNTIFS('Test Cases'!$B$6:$B$500,D9&amp;"*",'Test Cases'!$J$6:$J$500,"Not Executed")</f>
        <v>7</v>
      </c>
    </row>
    <row r="10" spans="1:10" x14ac:dyDescent="0.25">
      <c r="A10" s="11" t="s">
        <v>557</v>
      </c>
      <c r="B10" s="8" t="s">
        <v>558</v>
      </c>
      <c r="C10" s="8" t="s">
        <v>71</v>
      </c>
      <c r="D10" s="11" t="s">
        <v>70</v>
      </c>
      <c r="E10" s="8" t="s">
        <v>559</v>
      </c>
      <c r="F10" s="11">
        <f>COUNTIF('Test Cases'!$B$6:$B$500,D10&amp;"*")</f>
        <v>5</v>
      </c>
      <c r="G10" s="11">
        <f>COUNTIFS('Test Cases'!$B$6:$B$500,D10&amp;"*",'Test Cases'!$J$6:$J$500,"Pass")</f>
        <v>0</v>
      </c>
      <c r="H10" s="11">
        <f>COUNTIFS('Test Cases'!$B$6:$B$500,D10&amp;"*",'Test Cases'!$J$6:$J$500,"Fail")</f>
        <v>0</v>
      </c>
      <c r="I10" s="11">
        <f>COUNTIFS('Test Cases'!$B$6:$B$500,D10&amp;"*",'Test Cases'!$J$6:$J$500,"Blocked")</f>
        <v>0</v>
      </c>
      <c r="J10" s="11">
        <f>COUNTIFS('Test Cases'!$B$6:$B$500,D10&amp;"*",'Test Cases'!$J$6:$J$500,"Not Executed")</f>
        <v>5</v>
      </c>
    </row>
    <row r="11" spans="1:10" x14ac:dyDescent="0.25">
      <c r="A11" s="11" t="s">
        <v>560</v>
      </c>
      <c r="B11" s="8" t="s">
        <v>561</v>
      </c>
      <c r="C11" s="8" t="s">
        <v>71</v>
      </c>
      <c r="D11" s="11" t="s">
        <v>73</v>
      </c>
      <c r="E11" s="8" t="s">
        <v>562</v>
      </c>
      <c r="F11" s="11">
        <f>COUNTIF('Test Cases'!$B$6:$B$500,D11&amp;"*")</f>
        <v>5</v>
      </c>
      <c r="G11" s="11">
        <f>COUNTIFS('Test Cases'!$B$6:$B$500,D11&amp;"*",'Test Cases'!$J$6:$J$500,"Pass")</f>
        <v>0</v>
      </c>
      <c r="H11" s="11">
        <f>COUNTIFS('Test Cases'!$B$6:$B$500,D11&amp;"*",'Test Cases'!$J$6:$J$500,"Fail")</f>
        <v>0</v>
      </c>
      <c r="I11" s="11">
        <f>COUNTIFS('Test Cases'!$B$6:$B$500,D11&amp;"*",'Test Cases'!$J$6:$J$500,"Blocked")</f>
        <v>0</v>
      </c>
      <c r="J11" s="11">
        <f>COUNTIFS('Test Cases'!$B$6:$B$500,D11&amp;"*",'Test Cases'!$J$6:$J$500,"Not Executed")</f>
        <v>5</v>
      </c>
    </row>
    <row r="12" spans="1:10" ht="30" x14ac:dyDescent="0.25">
      <c r="A12" s="11" t="s">
        <v>563</v>
      </c>
      <c r="B12" s="8" t="s">
        <v>564</v>
      </c>
      <c r="C12" s="8" t="s">
        <v>77</v>
      </c>
      <c r="D12" s="11" t="s">
        <v>76</v>
      </c>
      <c r="E12" s="8" t="s">
        <v>565</v>
      </c>
      <c r="F12" s="11">
        <f>COUNTIF('Test Cases'!$B$6:$B$500,D12&amp;"*")</f>
        <v>11</v>
      </c>
      <c r="G12" s="11">
        <f>COUNTIFS('Test Cases'!$B$6:$B$500,D12&amp;"*",'Test Cases'!$J$6:$J$500,"Pass")</f>
        <v>0</v>
      </c>
      <c r="H12" s="11">
        <f>COUNTIFS('Test Cases'!$B$6:$B$500,D12&amp;"*",'Test Cases'!$J$6:$J$500,"Fail")</f>
        <v>0</v>
      </c>
      <c r="I12" s="11">
        <f>COUNTIFS('Test Cases'!$B$6:$B$500,D12&amp;"*",'Test Cases'!$J$6:$J$500,"Blocked")</f>
        <v>0</v>
      </c>
      <c r="J12" s="11">
        <f>COUNTIFS('Test Cases'!$B$6:$B$500,D12&amp;"*",'Test Cases'!$J$6:$J$500,"Not Executed")</f>
        <v>11</v>
      </c>
    </row>
    <row r="13" spans="1:10" x14ac:dyDescent="0.25">
      <c r="A13" s="11" t="s">
        <v>566</v>
      </c>
      <c r="B13" s="8" t="s">
        <v>567</v>
      </c>
      <c r="C13" s="8" t="s">
        <v>80</v>
      </c>
      <c r="D13" s="11" t="s">
        <v>79</v>
      </c>
      <c r="E13" s="8" t="s">
        <v>568</v>
      </c>
      <c r="F13" s="11">
        <f>COUNTIF('Test Cases'!$B$6:$B$500,D13&amp;"*")</f>
        <v>11</v>
      </c>
      <c r="G13" s="11">
        <f>COUNTIFS('Test Cases'!$B$6:$B$500,D13&amp;"*",'Test Cases'!$J$6:$J$500,"Pass")</f>
        <v>0</v>
      </c>
      <c r="H13" s="11">
        <f>COUNTIFS('Test Cases'!$B$6:$B$500,D13&amp;"*",'Test Cases'!$J$6:$J$500,"Fail")</f>
        <v>0</v>
      </c>
      <c r="I13" s="11">
        <f>COUNTIFS('Test Cases'!$B$6:$B$500,D13&amp;"*",'Test Cases'!$J$6:$J$500,"Blocked")</f>
        <v>0</v>
      </c>
      <c r="J13" s="11">
        <f>COUNTIFS('Test Cases'!$B$6:$B$500,D13&amp;"*",'Test Cases'!$J$6:$J$500,"Not Executed")</f>
        <v>11</v>
      </c>
    </row>
    <row r="14" spans="1:10" x14ac:dyDescent="0.25">
      <c r="A14" s="11" t="s">
        <v>569</v>
      </c>
      <c r="B14" s="8" t="s">
        <v>570</v>
      </c>
      <c r="C14" s="8" t="s">
        <v>83</v>
      </c>
      <c r="D14" s="11" t="s">
        <v>82</v>
      </c>
      <c r="E14" s="8" t="s">
        <v>571</v>
      </c>
      <c r="F14" s="11">
        <f>COUNTIF('Test Cases'!$B$6:$B$500,D14&amp;"*")</f>
        <v>8</v>
      </c>
      <c r="G14" s="11">
        <f>COUNTIFS('Test Cases'!$B$6:$B$500,D14&amp;"*",'Test Cases'!$J$6:$J$500,"Pass")</f>
        <v>0</v>
      </c>
      <c r="H14" s="11">
        <f>COUNTIFS('Test Cases'!$B$6:$B$500,D14&amp;"*",'Test Cases'!$J$6:$J$500,"Fail")</f>
        <v>0</v>
      </c>
      <c r="I14" s="11">
        <f>COUNTIFS('Test Cases'!$B$6:$B$500,D14&amp;"*",'Test Cases'!$J$6:$J$500,"Blocked")</f>
        <v>0</v>
      </c>
      <c r="J14" s="11">
        <f>COUNTIFS('Test Cases'!$B$6:$B$500,D14&amp;"*",'Test Cases'!$J$6:$J$500,"Not Executed")</f>
        <v>8</v>
      </c>
    </row>
    <row r="15" spans="1:10" x14ac:dyDescent="0.25">
      <c r="A15" s="11" t="s">
        <v>572</v>
      </c>
      <c r="B15" s="8" t="s">
        <v>573</v>
      </c>
      <c r="C15" s="8" t="s">
        <v>86</v>
      </c>
      <c r="D15" s="11" t="s">
        <v>85</v>
      </c>
      <c r="E15" s="8" t="s">
        <v>574</v>
      </c>
      <c r="F15" s="11">
        <f>COUNTIF('Test Cases'!$B$6:$B$500,D15&amp;"*")</f>
        <v>6</v>
      </c>
      <c r="G15" s="11">
        <f>COUNTIFS('Test Cases'!$B$6:$B$500,D15&amp;"*",'Test Cases'!$J$6:$J$500,"Pass")</f>
        <v>0</v>
      </c>
      <c r="H15" s="11">
        <f>COUNTIFS('Test Cases'!$B$6:$B$500,D15&amp;"*",'Test Cases'!$J$6:$J$500,"Fail")</f>
        <v>0</v>
      </c>
      <c r="I15" s="11">
        <f>COUNTIFS('Test Cases'!$B$6:$B$500,D15&amp;"*",'Test Cases'!$J$6:$J$500,"Blocked")</f>
        <v>0</v>
      </c>
      <c r="J15" s="11">
        <f>COUNTIFS('Test Cases'!$B$6:$B$500,D15&amp;"*",'Test Cases'!$J$6:$J$500,"Not Executed")</f>
        <v>6</v>
      </c>
    </row>
    <row r="16" spans="1:10" ht="30" x14ac:dyDescent="0.25">
      <c r="A16" s="11" t="s">
        <v>575</v>
      </c>
      <c r="B16" s="8" t="s">
        <v>576</v>
      </c>
      <c r="C16" s="8" t="s">
        <v>89</v>
      </c>
      <c r="D16" s="11" t="s">
        <v>88</v>
      </c>
      <c r="E16" s="8" t="s">
        <v>577</v>
      </c>
      <c r="F16" s="11">
        <f>COUNTIF('Test Cases'!$B$6:$B$500,D16&amp;"*")</f>
        <v>8</v>
      </c>
      <c r="G16" s="11">
        <f>COUNTIFS('Test Cases'!$B$6:$B$500,D16&amp;"*",'Test Cases'!$J$6:$J$500,"Pass")</f>
        <v>0</v>
      </c>
      <c r="H16" s="11">
        <f>COUNTIFS('Test Cases'!$B$6:$B$500,D16&amp;"*",'Test Cases'!$J$6:$J$500,"Fail")</f>
        <v>0</v>
      </c>
      <c r="I16" s="11">
        <f>COUNTIFS('Test Cases'!$B$6:$B$500,D16&amp;"*",'Test Cases'!$J$6:$J$500,"Blocked")</f>
        <v>0</v>
      </c>
      <c r="J16" s="11">
        <f>COUNTIFS('Test Cases'!$B$6:$B$500,D16&amp;"*",'Test Cases'!$J$6:$J$500,"Not Executed")</f>
        <v>8</v>
      </c>
    </row>
    <row r="17" spans="5:10" x14ac:dyDescent="0.25">
      <c r="E17" s="6" t="s">
        <v>91</v>
      </c>
      <c r="F17" s="12">
        <f>SUM(F5:F16)</f>
        <v>87</v>
      </c>
      <c r="G17" s="12">
        <f>SUM(G5:G16)</f>
        <v>0</v>
      </c>
      <c r="H17" s="12">
        <f>SUM(H5:H16)</f>
        <v>0</v>
      </c>
      <c r="I17" s="12">
        <f>SUM(I5:I16)</f>
        <v>0</v>
      </c>
      <c r="J17" s="12">
        <f>SUM(J5:J16)</f>
        <v>87</v>
      </c>
    </row>
  </sheetData>
  <mergeCells count="2">
    <mergeCell ref="A2:B2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8.7109375" defaultRowHeight="15" x14ac:dyDescent="0.25"/>
  <cols>
    <col min="1" max="1" width="16" customWidth="1"/>
    <col min="2" max="2" width="13" customWidth="1"/>
    <col min="3" max="3" width="18" customWidth="1"/>
    <col min="4" max="4" width="38" customWidth="1"/>
    <col min="5" max="5" width="46" customWidth="1"/>
    <col min="6" max="7" width="34" customWidth="1"/>
    <col min="8" max="8" width="11" customWidth="1"/>
    <col min="9" max="9" width="10" customWidth="1"/>
    <col min="10" max="10" width="12" customWidth="1"/>
    <col min="11" max="11" width="18" customWidth="1"/>
    <col min="12" max="12" width="14" customWidth="1"/>
  </cols>
  <sheetData>
    <row r="1" spans="1:12" ht="18.75" x14ac:dyDescent="0.3">
      <c r="A1" s="15" t="s">
        <v>578</v>
      </c>
    </row>
    <row r="2" spans="1:12" x14ac:dyDescent="0.25">
      <c r="A2" s="16"/>
    </row>
    <row r="4" spans="1:12" ht="30" x14ac:dyDescent="0.25">
      <c r="A4" s="7" t="s">
        <v>579</v>
      </c>
      <c r="B4" s="7" t="s">
        <v>95</v>
      </c>
      <c r="C4" s="7" t="s">
        <v>49</v>
      </c>
      <c r="D4" s="7" t="s">
        <v>580</v>
      </c>
      <c r="E4" s="7" t="s">
        <v>581</v>
      </c>
      <c r="F4" s="7" t="s">
        <v>100</v>
      </c>
      <c r="G4" s="7" t="s">
        <v>101</v>
      </c>
      <c r="H4" s="7" t="s">
        <v>582</v>
      </c>
      <c r="I4" s="7" t="s">
        <v>52</v>
      </c>
      <c r="J4" s="7" t="s">
        <v>583</v>
      </c>
      <c r="K4" s="7" t="s">
        <v>584</v>
      </c>
      <c r="L4" s="7" t="s">
        <v>585</v>
      </c>
    </row>
    <row r="5" spans="1:12" ht="60" x14ac:dyDescent="0.25">
      <c r="A5" s="21" t="s">
        <v>586</v>
      </c>
      <c r="B5" s="21" t="s">
        <v>153</v>
      </c>
      <c r="C5" s="22" t="s">
        <v>55</v>
      </c>
      <c r="D5" s="22" t="s">
        <v>587</v>
      </c>
      <c r="E5" s="22" t="s">
        <v>588</v>
      </c>
      <c r="F5" s="22" t="s">
        <v>589</v>
      </c>
      <c r="G5" s="22" t="s">
        <v>590</v>
      </c>
      <c r="H5" s="21" t="s">
        <v>591</v>
      </c>
      <c r="I5" s="21" t="s">
        <v>66</v>
      </c>
      <c r="J5" s="21" t="s">
        <v>592</v>
      </c>
      <c r="K5" s="22" t="s">
        <v>14</v>
      </c>
      <c r="L5" s="23">
        <v>46259</v>
      </c>
    </row>
    <row r="6" spans="1:12" x14ac:dyDescent="0.25">
      <c r="A6" s="11"/>
      <c r="B6" s="11"/>
      <c r="C6" s="8"/>
      <c r="D6" s="8"/>
      <c r="E6" s="8"/>
      <c r="F6" s="8"/>
      <c r="G6" s="8"/>
      <c r="H6" s="11"/>
      <c r="I6" s="11"/>
      <c r="J6" s="11"/>
      <c r="K6" s="8"/>
      <c r="L6" s="17"/>
    </row>
    <row r="7" spans="1:12" x14ac:dyDescent="0.25">
      <c r="A7" s="11"/>
      <c r="B7" s="11"/>
      <c r="C7" s="8"/>
      <c r="D7" s="8"/>
      <c r="E7" s="8"/>
      <c r="F7" s="8"/>
      <c r="G7" s="8"/>
      <c r="H7" s="11"/>
      <c r="I7" s="11"/>
      <c r="J7" s="11"/>
      <c r="K7" s="8"/>
      <c r="L7" s="17"/>
    </row>
    <row r="8" spans="1:12" x14ac:dyDescent="0.25">
      <c r="A8" s="11"/>
      <c r="B8" s="11"/>
      <c r="C8" s="8"/>
      <c r="D8" s="8"/>
      <c r="E8" s="8"/>
      <c r="F8" s="8"/>
      <c r="G8" s="8"/>
      <c r="H8" s="11"/>
      <c r="I8" s="11"/>
      <c r="J8" s="11"/>
      <c r="K8" s="8"/>
      <c r="L8" s="17"/>
    </row>
    <row r="9" spans="1:12" x14ac:dyDescent="0.25">
      <c r="A9" s="11"/>
      <c r="B9" s="11"/>
      <c r="C9" s="8"/>
      <c r="D9" s="8"/>
      <c r="E9" s="8"/>
      <c r="F9" s="8"/>
      <c r="G9" s="8"/>
      <c r="H9" s="11"/>
      <c r="I9" s="11"/>
      <c r="J9" s="11"/>
      <c r="K9" s="8"/>
      <c r="L9" s="17"/>
    </row>
    <row r="10" spans="1:12" x14ac:dyDescent="0.25">
      <c r="A10" s="11"/>
      <c r="B10" s="11"/>
      <c r="C10" s="8"/>
      <c r="D10" s="8"/>
      <c r="E10" s="8"/>
      <c r="F10" s="8"/>
      <c r="G10" s="8"/>
      <c r="H10" s="11"/>
      <c r="I10" s="11"/>
      <c r="J10" s="11"/>
      <c r="K10" s="8"/>
      <c r="L10" s="17"/>
    </row>
    <row r="11" spans="1:12" x14ac:dyDescent="0.25">
      <c r="A11" s="11"/>
      <c r="B11" s="11"/>
      <c r="C11" s="8"/>
      <c r="D11" s="8"/>
      <c r="E11" s="8"/>
      <c r="F11" s="8"/>
      <c r="G11" s="8"/>
      <c r="H11" s="11"/>
      <c r="I11" s="11"/>
      <c r="J11" s="11"/>
      <c r="K11" s="8"/>
      <c r="L11" s="17"/>
    </row>
    <row r="12" spans="1:12" x14ac:dyDescent="0.25">
      <c r="A12" s="11"/>
      <c r="B12" s="11"/>
      <c r="C12" s="8"/>
      <c r="D12" s="8"/>
      <c r="E12" s="8"/>
      <c r="F12" s="8"/>
      <c r="G12" s="8"/>
      <c r="H12" s="11"/>
      <c r="I12" s="11"/>
      <c r="J12" s="11"/>
      <c r="K12" s="8"/>
      <c r="L12" s="17"/>
    </row>
    <row r="13" spans="1:12" x14ac:dyDescent="0.25">
      <c r="A13" s="11"/>
      <c r="B13" s="11"/>
      <c r="C13" s="8"/>
      <c r="D13" s="8"/>
      <c r="E13" s="8"/>
      <c r="F13" s="8"/>
      <c r="G13" s="8"/>
      <c r="H13" s="11"/>
      <c r="I13" s="11"/>
      <c r="J13" s="11"/>
      <c r="K13" s="8"/>
      <c r="L13" s="17"/>
    </row>
    <row r="14" spans="1:12" x14ac:dyDescent="0.25">
      <c r="A14" s="11"/>
      <c r="B14" s="11"/>
      <c r="C14" s="8"/>
      <c r="D14" s="8"/>
      <c r="E14" s="8"/>
      <c r="F14" s="8"/>
      <c r="G14" s="8"/>
      <c r="H14" s="11"/>
      <c r="I14" s="11"/>
      <c r="J14" s="11"/>
      <c r="K14" s="8"/>
      <c r="L14" s="17"/>
    </row>
    <row r="15" spans="1:12" x14ac:dyDescent="0.25">
      <c r="A15" s="11"/>
      <c r="B15" s="11"/>
      <c r="C15" s="8"/>
      <c r="D15" s="8"/>
      <c r="E15" s="8"/>
      <c r="F15" s="8"/>
      <c r="G15" s="8"/>
      <c r="H15" s="11"/>
      <c r="I15" s="11"/>
      <c r="J15" s="11"/>
      <c r="K15" s="8"/>
      <c r="L15" s="17"/>
    </row>
    <row r="16" spans="1:12" x14ac:dyDescent="0.25">
      <c r="A16" s="11"/>
      <c r="B16" s="11"/>
      <c r="C16" s="8"/>
      <c r="D16" s="8"/>
      <c r="E16" s="8"/>
      <c r="F16" s="8"/>
      <c r="G16" s="8"/>
      <c r="H16" s="11"/>
      <c r="I16" s="11"/>
      <c r="J16" s="11"/>
      <c r="K16" s="8"/>
      <c r="L16" s="17"/>
    </row>
    <row r="17" spans="1:12" x14ac:dyDescent="0.25">
      <c r="A17" s="11"/>
      <c r="B17" s="11"/>
      <c r="C17" s="8"/>
      <c r="D17" s="8"/>
      <c r="E17" s="8"/>
      <c r="F17" s="8"/>
      <c r="G17" s="8"/>
      <c r="H17" s="11"/>
      <c r="I17" s="11"/>
      <c r="J17" s="11"/>
      <c r="K17" s="8"/>
      <c r="L17" s="17"/>
    </row>
    <row r="18" spans="1:12" x14ac:dyDescent="0.25">
      <c r="A18" s="11"/>
      <c r="B18" s="11"/>
      <c r="C18" s="8"/>
      <c r="D18" s="8"/>
      <c r="E18" s="8"/>
      <c r="F18" s="8"/>
      <c r="G18" s="8"/>
      <c r="H18" s="11"/>
      <c r="I18" s="11"/>
      <c r="J18" s="11"/>
      <c r="K18" s="8"/>
      <c r="L18" s="17"/>
    </row>
    <row r="19" spans="1:12" x14ac:dyDescent="0.25">
      <c r="A19" s="11"/>
      <c r="B19" s="11"/>
      <c r="C19" s="8"/>
      <c r="D19" s="8"/>
      <c r="E19" s="8"/>
      <c r="F19" s="8"/>
      <c r="G19" s="8"/>
      <c r="H19" s="11"/>
      <c r="I19" s="11"/>
      <c r="J19" s="11"/>
      <c r="K19" s="8"/>
      <c r="L19" s="17"/>
    </row>
    <row r="20" spans="1:12" x14ac:dyDescent="0.25">
      <c r="A20" s="11"/>
      <c r="B20" s="11"/>
      <c r="C20" s="8"/>
      <c r="D20" s="8"/>
      <c r="E20" s="8"/>
      <c r="F20" s="8"/>
      <c r="G20" s="8"/>
      <c r="H20" s="11"/>
      <c r="I20" s="11"/>
      <c r="J20" s="11"/>
      <c r="K20" s="8"/>
      <c r="L20" s="17"/>
    </row>
    <row r="21" spans="1:12" x14ac:dyDescent="0.25">
      <c r="A21" s="11"/>
      <c r="B21" s="11"/>
      <c r="C21" s="8"/>
      <c r="D21" s="8"/>
      <c r="E21" s="8"/>
      <c r="F21" s="8"/>
      <c r="G21" s="8"/>
      <c r="H21" s="11"/>
      <c r="I21" s="11"/>
      <c r="J21" s="11"/>
      <c r="K21" s="8"/>
      <c r="L21" s="17"/>
    </row>
    <row r="22" spans="1:12" x14ac:dyDescent="0.25">
      <c r="A22" s="11"/>
      <c r="B22" s="11"/>
      <c r="C22" s="8"/>
      <c r="D22" s="8"/>
      <c r="E22" s="8"/>
      <c r="F22" s="8"/>
      <c r="G22" s="8"/>
      <c r="H22" s="11"/>
      <c r="I22" s="11"/>
      <c r="J22" s="11"/>
      <c r="K22" s="8"/>
      <c r="L22" s="17"/>
    </row>
    <row r="23" spans="1:12" x14ac:dyDescent="0.25">
      <c r="A23" s="11"/>
      <c r="B23" s="11"/>
      <c r="C23" s="8"/>
      <c r="D23" s="8"/>
      <c r="E23" s="8"/>
      <c r="F23" s="8"/>
      <c r="G23" s="8"/>
      <c r="H23" s="11"/>
      <c r="I23" s="11"/>
      <c r="J23" s="11"/>
      <c r="K23" s="8"/>
      <c r="L23" s="17"/>
    </row>
    <row r="24" spans="1:12" x14ac:dyDescent="0.25">
      <c r="A24" s="11"/>
      <c r="B24" s="11"/>
      <c r="C24" s="8"/>
      <c r="D24" s="8"/>
      <c r="E24" s="8"/>
      <c r="F24" s="8"/>
      <c r="G24" s="8"/>
      <c r="H24" s="11"/>
      <c r="I24" s="11"/>
      <c r="J24" s="11"/>
      <c r="K24" s="8"/>
      <c r="L24" s="17"/>
    </row>
    <row r="25" spans="1:12" x14ac:dyDescent="0.25">
      <c r="A25" s="11"/>
      <c r="B25" s="11"/>
      <c r="C25" s="8"/>
      <c r="D25" s="8"/>
      <c r="E25" s="8"/>
      <c r="F25" s="8"/>
      <c r="G25" s="8"/>
      <c r="H25" s="11"/>
      <c r="I25" s="11"/>
      <c r="J25" s="11"/>
      <c r="K25" s="8"/>
      <c r="L25" s="17"/>
    </row>
  </sheetData>
  <dataValidations count="2">
    <dataValidation type="list" sqref="H5:H25" xr:uid="{00000000-0002-0000-0400-000000000000}">
      <formula1>"Critical,High,Medium,Low"</formula1>
      <formula2>0</formula2>
    </dataValidation>
    <dataValidation type="list" sqref="J5:J25" xr:uid="{00000000-0002-0000-0400-000001000000}">
      <formula1>"New,Open,In Progress,Fixed,Retest,Closed,Rejected"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Information</vt:lpstr>
      <vt:lpstr>Test-Scenario</vt:lpstr>
      <vt:lpstr>Test Cases</vt:lpstr>
      <vt:lpstr>RTM</vt:lpstr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Ghanshyam Sharma</cp:lastModifiedBy>
  <cp:revision>0</cp:revision>
  <dcterms:created xsi:type="dcterms:W3CDTF">2026-10-23T10:49:39Z</dcterms:created>
  <dcterms:modified xsi:type="dcterms:W3CDTF">2026-10-23T16:30:11Z</dcterms:modified>
  <dc:language>en-US</dc:language>
</cp:coreProperties>
</file>